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99B404A2-A7A3-48CA-853A-F5750913EA82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 – Score Mapping" sheetId="1" r:id="rId1"/>
    <sheet name="2 – Risk Rating Scale" sheetId="2" r:id="rId2"/>
    <sheet name="3 – Sample CloudVault Inc." sheetId="3" r:id="rId3"/>
    <sheet name="4 – Blank Scoring Templat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4" l="1"/>
  <c r="E26" i="4" s="1"/>
  <c r="C27" i="3"/>
  <c r="C26" i="3"/>
  <c r="C25" i="3"/>
  <c r="C24" i="3"/>
  <c r="E20" i="3"/>
  <c r="F19" i="3"/>
  <c r="E19" i="3"/>
</calcChain>
</file>

<file path=xl/sharedStrings.xml><?xml version="1.0" encoding="utf-8"?>
<sst xmlns="http://schemas.openxmlformats.org/spreadsheetml/2006/main" count="622" uniqueCount="275">
  <si>
    <t>FinBank – Vendor Risk Scoring Model: Answer-to-Score Mapping</t>
  </si>
  <si>
    <t>Each questionnaire answer maps to a point value. Higher points = higher risk.  Total score drives the Final Risk Rating on Sheet 3.</t>
  </si>
  <si>
    <t>#</t>
  </si>
  <si>
    <t>Section</t>
  </si>
  <si>
    <t>Question Topic</t>
  </si>
  <si>
    <t>Answer Option</t>
  </si>
  <si>
    <t>Risk Indicator</t>
  </si>
  <si>
    <t>Points
Awarded</t>
  </si>
  <si>
    <t>Max
Points</t>
  </si>
  <si>
    <t>Regulatory
Basis</t>
  </si>
  <si>
    <t>Notes / Rationale</t>
  </si>
  <si>
    <t>2.1.3</t>
  </si>
  <si>
    <t>Security Governance</t>
  </si>
  <si>
    <t>SOC 2 Type II Report</t>
  </si>
  <si>
    <t>SOC 2 Type II current (&lt;12 months)</t>
  </si>
  <si>
    <t>Low</t>
  </si>
  <si>
    <t>OCC 2013-29</t>
  </si>
  <si>
    <t>Clean SOC 2 = baseline assurance</t>
  </si>
  <si>
    <t>SOC 2 Type I only</t>
  </si>
  <si>
    <t>Moderate</t>
  </si>
  <si>
    <t>Type I less rigorous; operating effectiveness unverified</t>
  </si>
  <si>
    <t>In progress / not yet obtained</t>
  </si>
  <si>
    <t>High</t>
  </si>
  <si>
    <t>Gap in independent assurance</t>
  </si>
  <si>
    <t>No SOC 2 and not planned</t>
  </si>
  <si>
    <t>Critical</t>
  </si>
  <si>
    <t>Automatic escalation required for Tier 1/2</t>
  </si>
  <si>
    <t>2.1.4</t>
  </si>
  <si>
    <t>SOC 2 Exceptions</t>
  </si>
  <si>
    <t>No exceptions / qualified opinions</t>
  </si>
  <si>
    <t>FFIEC IT</t>
  </si>
  <si>
    <t>Clean opinion = favorable</t>
  </si>
  <si>
    <t>Minor exceptions; remediated</t>
  </si>
  <si>
    <t>Review remediation evidence</t>
  </si>
  <si>
    <t>Significant exceptions; remediation ongoing</t>
  </si>
  <si>
    <t>Track remediation milestones</t>
  </si>
  <si>
    <t>Qualified opinion; no remediation plan</t>
  </si>
  <si>
    <t>Escalate to TPRM Manager</t>
  </si>
  <si>
    <t>2.2.2</t>
  </si>
  <si>
    <t>Access Control</t>
  </si>
  <si>
    <t>MFA Enforcement</t>
  </si>
  <si>
    <t>MFA enforced for all users and admin</t>
  </si>
  <si>
    <t>GLBA §314.4</t>
  </si>
  <si>
    <t>Full MFA = strong control</t>
  </si>
  <si>
    <t>MFA for admin only; not all users</t>
  </si>
  <si>
    <t>Partial gap; request timeline to full deployment</t>
  </si>
  <si>
    <t>MFA planned but not yet deployed</t>
  </si>
  <si>
    <t>Note remediation timeline</t>
  </si>
  <si>
    <t>No MFA in place</t>
  </si>
  <si>
    <t>Immediate flag; consider contract hold</t>
  </si>
  <si>
    <t>2.3.1</t>
  </si>
  <si>
    <t>Encryption</t>
  </si>
  <si>
    <t>Encryption at Rest</t>
  </si>
  <si>
    <t>AES-256 or equivalent; keys in HSM/KMS</t>
  </si>
  <si>
    <t>GLBA Safeguards</t>
  </si>
  <si>
    <t>Industry best practice</t>
  </si>
  <si>
    <t>Encryption present; key mgmt unclear</t>
  </si>
  <si>
    <t>Request key management documentation</t>
  </si>
  <si>
    <t>Partial encryption (some data unencrypted)</t>
  </si>
  <si>
    <t>Identify unencrypted data sets</t>
  </si>
  <si>
    <t>No encryption at rest</t>
  </si>
  <si>
    <t>Automatic High risk flag; contract may be void</t>
  </si>
  <si>
    <t>2.3.2</t>
  </si>
  <si>
    <t>Encryption in Transit</t>
  </si>
  <si>
    <t>TLS 1.2/1.3 only; 1.0/1.1 disabled</t>
  </si>
  <si>
    <t>Compliant posture</t>
  </si>
  <si>
    <t>TLS 1.2 minimum; 1.3 not yet deployed</t>
  </si>
  <si>
    <t>Acceptable; recommend 1.3 migration</t>
  </si>
  <si>
    <t>TLS 1.1 still active in some environments</t>
  </si>
  <si>
    <t>Deprecated protocol; remediate within 60 days</t>
  </si>
  <si>
    <t>TLS 1.0 still in use or no TLS</t>
  </si>
  <si>
    <t>Critical vulnerability; escalate immediately</t>
  </si>
  <si>
    <t>2.4.1</t>
  </si>
  <si>
    <t>Vulnerability Mgmt</t>
  </si>
  <si>
    <t>Critical Patch SLA</t>
  </si>
  <si>
    <t>Critical patches applied within 30 days</t>
  </si>
  <si>
    <t>Meets FinBank baseline</t>
  </si>
  <si>
    <t>31–60 days</t>
  </si>
  <si>
    <t>Borderline; request improvement plan</t>
  </si>
  <si>
    <t>61–90 days</t>
  </si>
  <si>
    <t>Elevated exposure window</t>
  </si>
  <si>
    <t>No defined SLA / &gt;90 days</t>
  </si>
  <si>
    <t>Unacceptable for Tier 1/2 vendors</t>
  </si>
  <si>
    <t>2.4.3</t>
  </si>
  <si>
    <t>Penetration Testing</t>
  </si>
  <si>
    <t>Annual pen test by independent firm; clean</t>
  </si>
  <si>
    <t>Meets FinBank requirement</t>
  </si>
  <si>
    <t>Annual test; medium findings remediated</t>
  </si>
  <si>
    <t>Last test &gt;12 months ago</t>
  </si>
  <si>
    <t>Require updated test within 90 days</t>
  </si>
  <si>
    <t>No penetration test ever conducted</t>
  </si>
  <si>
    <t>Critical gap; escalate</t>
  </si>
  <si>
    <t>2.5.2</t>
  </si>
  <si>
    <t>Incident Response</t>
  </si>
  <si>
    <t>Breach Notification SLA</t>
  </si>
  <si>
    <t>Notification within 24 hours</t>
  </si>
  <si>
    <t>Exceeds FinBank requirement</t>
  </si>
  <si>
    <t>Notification within 48–72 hours</t>
  </si>
  <si>
    <t>Meets 72-hour GLBA baseline</t>
  </si>
  <si>
    <t>Notification within 4–7 days</t>
  </si>
  <si>
    <t>Exceeds FinBank max; require contract amendment</t>
  </si>
  <si>
    <t>No defined notification commitment</t>
  </si>
  <si>
    <t>Contract deficiency; escalate to Legal</t>
  </si>
  <si>
    <t>2.5.3</t>
  </si>
  <si>
    <t>Prior Breach History</t>
  </si>
  <si>
    <t>No breaches in past 3 years</t>
  </si>
  <si>
    <t>Clean history</t>
  </si>
  <si>
    <t>Minor incident; fully remediated</t>
  </si>
  <si>
    <t>Review root cause and controls improvement</t>
  </si>
  <si>
    <t>Material breach; contained and remediated</t>
  </si>
  <si>
    <t>Enhanced monitoring required</t>
  </si>
  <si>
    <t>Active investigation or unresolved breach</t>
  </si>
  <si>
    <t>Pause engagement; escalate to CRO</t>
  </si>
  <si>
    <t>3.1.2</t>
  </si>
  <si>
    <t>BCP / DR</t>
  </si>
  <si>
    <t>BCP Testing Frequency</t>
  </si>
  <si>
    <t>Annual BCP test with documented results</t>
  </si>
  <si>
    <t>FFIEC BCP</t>
  </si>
  <si>
    <t>Meets FinBank minimum</t>
  </si>
  <si>
    <t>Tested 13–24 months ago</t>
  </si>
  <si>
    <t>Request updated test date commitment</t>
  </si>
  <si>
    <t>Tested &gt;24 months ago</t>
  </si>
  <si>
    <t>Stale; require test within 90 days</t>
  </si>
  <si>
    <t>No BCP / never tested</t>
  </si>
  <si>
    <t>Critical gap for Tier 1/2</t>
  </si>
  <si>
    <t>3.1.3</t>
  </si>
  <si>
    <t>RTO Commitment</t>
  </si>
  <si>
    <t>RTO ≤4 hours</t>
  </si>
  <si>
    <t>Acceptable for core services</t>
  </si>
  <si>
    <t>RTO 4–24 hours</t>
  </si>
  <si>
    <t>Acceptable for non-core</t>
  </si>
  <si>
    <t>RTO 24–72 hours</t>
  </si>
  <si>
    <t>Unacceptable for Tier 1 services</t>
  </si>
  <si>
    <t>No defined RTO</t>
  </si>
  <si>
    <t>Contract deficiency</t>
  </si>
  <si>
    <t>4.1.3</t>
  </si>
  <si>
    <t>Compliance</t>
  </si>
  <si>
    <t>GLBA Safeguards Compliance</t>
  </si>
  <si>
    <t>All 9 elements fully implemented</t>
  </si>
  <si>
    <t>GLBA §314</t>
  </si>
  <si>
    <t>Full compliance</t>
  </si>
  <si>
    <t>8 of 9 elements; gap being remediated</t>
  </si>
  <si>
    <t>Monitor remediation</t>
  </si>
  <si>
    <t>Fewer than 7 elements; gaps material</t>
  </si>
  <si>
    <t>Require remediation plan with milestones</t>
  </si>
  <si>
    <t>Not assessed / not aware of requirement</t>
  </si>
  <si>
    <t>Escalate to Compliance and Legal</t>
  </si>
  <si>
    <t>4.4.2</t>
  </si>
  <si>
    <t>Regulatory Actions</t>
  </si>
  <si>
    <t>No regulatory actions in past 3 years</t>
  </si>
  <si>
    <t>Clean record</t>
  </si>
  <si>
    <t>Minor finding; resolved</t>
  </si>
  <si>
    <t>Review resolution documentation</t>
  </si>
  <si>
    <t>Consent order or MRA; ongoing</t>
  </si>
  <si>
    <t>Escalate; monitor quarterly</t>
  </si>
  <si>
    <t>Active enforcement action</t>
  </si>
  <si>
    <t>Escalate to CRO and Legal immediately</t>
  </si>
  <si>
    <t>5.1.1</t>
  </si>
  <si>
    <t>Sub-Vendor Risk</t>
  </si>
  <si>
    <t>Sub-Vendor Oversight</t>
  </si>
  <si>
    <t>Formal program; assessed annually</t>
  </si>
  <si>
    <t>Strong fourth-party control</t>
  </si>
  <si>
    <t>Informal oversight; some documentation</t>
  </si>
  <si>
    <t>Request written sub-vendor policy</t>
  </si>
  <si>
    <t>No structured sub-vendor oversight</t>
  </si>
  <si>
    <t>Significant fourth-party risk gap</t>
  </si>
  <si>
    <t>Unknown; vendor refused to disclose</t>
  </si>
  <si>
    <t>Non-disclosure is a contract violation risk</t>
  </si>
  <si>
    <t>5.3.1</t>
  </si>
  <si>
    <t>Cloud Concentration Risk</t>
  </si>
  <si>
    <t>Multi-cloud or dual provider strategy</t>
  </si>
  <si>
    <t>Concentration risk mitigated</t>
  </si>
  <si>
    <t>Single cloud; documented failover plan</t>
  </si>
  <si>
    <t>Monitor provider outage events</t>
  </si>
  <si>
    <t>Single cloud; no DR strategy</t>
  </si>
  <si>
    <t>Significant concentration risk</t>
  </si>
  <si>
    <t>TOTAL MAXIMUM POSSIBLE POINTS: 124  |  See Sheet 2 for score-to-rating conversion</t>
  </si>
  <si>
    <t>FinBank – Vendor Risk Scoring Model: Final Risk Rating Scale</t>
  </si>
  <si>
    <t>Total score is the sum of all question-level scores. Map the total to the rating bands below.</t>
  </si>
  <si>
    <t>Rating</t>
  </si>
  <si>
    <t>Score Range</t>
  </si>
  <si>
    <t>Risk Description</t>
  </si>
  <si>
    <t>Required Actions</t>
  </si>
  <si>
    <t>Oversight Frequency</t>
  </si>
  <si>
    <t>Escalation Required?</t>
  </si>
  <si>
    <t>Typical Examples</t>
  </si>
  <si>
    <t>LOW</t>
  </si>
  <si>
    <t>0 – 20</t>
  </si>
  <si>
    <t>Strong controls across all domains. Vendor demonstrates mature security posture and full regulatory compliance.</t>
  </si>
  <si>
    <t>Maintain standard monitoring. Complete periodic attestation. No remediation required.</t>
  </si>
  <si>
    <t>Annual reassessment</t>
  </si>
  <si>
    <t>No</t>
  </si>
  <si>
    <t>Vendor with SOC 2 Type II, MFA, AES-256, clean reg history, annual BCP test</t>
  </si>
  <si>
    <t>MODERATE</t>
  </si>
  <si>
    <t>21 – 45</t>
  </si>
  <si>
    <t>Generally acceptable controls with some gaps. Limited risk to FinBank data or operations. Gaps are non-critical and have remediation plans.</t>
  </si>
  <si>
    <t>Document all gaps. Request remediation plan within 60 days. Monitor quarterly progress. Present to TPRM committee.</t>
  </si>
  <si>
    <t>Annual + quarterly check-in</t>
  </si>
  <si>
    <t>No (document findings)</t>
  </si>
  <si>
    <t>Vendor with SOC 2 Type I, MFA for admin only, BCP tested 18 months ago</t>
  </si>
  <si>
    <t>HIGH</t>
  </si>
  <si>
    <t>46 – 75</t>
  </si>
  <si>
    <t>Material control deficiencies identified. Elevated risk to FinBank customer data, operations, or regulatory standing. Gaps require prompt remediation.</t>
  </si>
  <si>
    <t>Formal remediation plan with milestones required within 30 days. Monthly monitoring. Restrict scope of services if appropriate. Present to CRO.</t>
  </si>
  <si>
    <t>Semi-annual formal review + monthly monitoring</t>
  </si>
  <si>
    <t>Yes – TPRM Manager + CRO</t>
  </si>
  <si>
    <t>Vendor with no pen test, TLS 1.1 active, breach in past 2 years, consent order</t>
  </si>
  <si>
    <t>CRITICAL</t>
  </si>
  <si>
    <t>76 – 124</t>
  </si>
  <si>
    <t>Fundamental control failures. Immediate risk to FinBank, customers, or regulatory compliance. Continued use of vendor requires executive approval.</t>
  </si>
  <si>
    <t>Immediate escalation to CRO and Legal. Suspend new data sharing. Issue cure notice within 10 business days. Initiate contingency vendor sourcing.</t>
  </si>
  <si>
    <t>Continuous until remediated</t>
  </si>
  <si>
    <t>Yes – CRO + Board Risk Committee</t>
  </si>
  <si>
    <t>Vendor with no SOC 2, no MFA, active breach, active enforcement action, no BCP</t>
  </si>
  <si>
    <t>SCORE SCALE:   LOW [0–20] ──────── MODERATE [21–45] ──────────── HIGH [46–75] ──────────────────── CRITICAL [76–124]</t>
  </si>
  <si>
    <t>Note: The maximum possible score is 124 points across all scored questions. Scores are additive — each question's assigned points sum to the total. A single Critical-flag answer (score = max points) automatically triggers escalation regardless of total score.</t>
  </si>
  <si>
    <t>FinBank – Sample Risk Score Calculation: CloudVault Inc.</t>
  </si>
  <si>
    <t>Q#</t>
  </si>
  <si>
    <t>Topic</t>
  </si>
  <si>
    <t>CloudVault's Answer</t>
  </si>
  <si>
    <t>Risk Level</t>
  </si>
  <si>
    <t>Points
Scored</t>
  </si>
  <si>
    <t>Analyst Notes</t>
  </si>
  <si>
    <t>SOC 2 Report</t>
  </si>
  <si>
    <t>SOC 2 Type II from Deloitte, period ending Sep 2024. No exceptions.</t>
  </si>
  <si>
    <t>Two minor exceptions in logical access; remediated per management letter.</t>
  </si>
  <si>
    <t>Standard users access via SSO without MFA. Risk: lateral movement.</t>
  </si>
  <si>
    <t>AES-256 confirmed. Keys managed via AWS KMS with FIPS 140-2 HSM.</t>
  </si>
  <si>
    <t>Confirmed TLS 1.3 primary; 1.0/1.1 deprecated as of Q1 2024.</t>
  </si>
  <si>
    <t>Current SLA is 45 days for critical. FinBank requires 30. Gap noted.</t>
  </si>
  <si>
    <t>Annual pen test by NCC Group. 3 medium findings; all remediated.</t>
  </si>
  <si>
    <t>Breach Notification</t>
  </si>
  <si>
    <t>Contract clause: 72 hours. Meets GLBA baseline.</t>
  </si>
  <si>
    <t>2022 phishing incident; no customer data exfiltrated. Remediated.</t>
  </si>
  <si>
    <t>BCP Testing</t>
  </si>
  <si>
    <t>Tabletop test conducted Oct 2024. Results provided.</t>
  </si>
  <si>
    <t>Contractual RTO: 8 hours. Acceptable for Tier 2 non-core storage.</t>
  </si>
  <si>
    <t>Gap: written risk assessment for sub-vendors. Remediation Q2 2025.</t>
  </si>
  <si>
    <t>Confirmed no regulatory actions. Clean record.</t>
  </si>
  <si>
    <t>Sub-vendor list provided. No formal risk assessments conducted.</t>
  </si>
  <si>
    <t>Cloud Concentration</t>
  </si>
  <si>
    <t>100% on AWS us-east-1. Documented DR to us-west-2 within 4 hours.</t>
  </si>
  <si>
    <t>TOTAL RISK SCORE (Sum of Points Scored)</t>
  </si>
  <si>
    <t>← Sum of all scored answers</t>
  </si>
  <si>
    <t>FINAL RISK RATING</t>
  </si>
  <si>
    <t>Score of 22/124 falls in MODERATE band (21–45). Mix of Low &amp; Moderate findings. MFA gap and patch SLA are top remediation priorities.</t>
  </si>
  <si>
    <t>RISK FINDING BREAKDOWN</t>
  </si>
  <si>
    <t>Finding Level</t>
  </si>
  <si>
    <t>Count</t>
  </si>
  <si>
    <t>% of Questions</t>
  </si>
  <si>
    <t>Highest Point Question</t>
  </si>
  <si>
    <t>Pts</t>
  </si>
  <si>
    <t>Action Threshold</t>
  </si>
  <si>
    <t>Encryption at Rest (AES-256)</t>
  </si>
  <si>
    <t>—</t>
  </si>
  <si>
    <t>No action required</t>
  </si>
  <si>
    <t>Prior Breach / GLBA Safeguards</t>
  </si>
  <si>
    <t>Remediation plan in 60 days</t>
  </si>
  <si>
    <t>Escalate; 30-day remediation plan</t>
  </si>
  <si>
    <t>Immediate escalation</t>
  </si>
  <si>
    <t>FinBank – Vendor Risk Scoring Template (Blank — Analyst Use)</t>
  </si>
  <si>
    <t>INSTRUCTIONS: Enter vendor name and date. For each question, select the answer and enter the corresponding points from Sheet 1. The total and rating calculate automatically.</t>
  </si>
  <si>
    <t>Vendor Name:</t>
  </si>
  <si>
    <t>Assessment Date:</t>
  </si>
  <si>
    <t>Analyst Name:</t>
  </si>
  <si>
    <t>Vendor Tier:</t>
  </si>
  <si>
    <t>Services Provided:</t>
  </si>
  <si>
    <t>Answer Selected (from questionnaire)</t>
  </si>
  <si>
    <t>Notes</t>
  </si>
  <si>
    <t>SOC 2 Type II</t>
  </si>
  <si>
    <t>TOTAL SCORE</t>
  </si>
  <si>
    <t>Ref: Sheet 2 for rating bands</t>
  </si>
  <si>
    <t>FINAL RISK RATING (auto-calculated)</t>
  </si>
  <si>
    <t>LOW=0-20  |  MODERATE=21-45  |  HIGH=46-75  |  CRITICAL=76-124</t>
  </si>
  <si>
    <t>Assessment Date: January 2025  |  Analyst: Mihir Trivedi, Third-Party Risk  |  Vendor Tier: 2 (High)  |  Services: Encrypted cloud storage, customer PII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</si>
</sst>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10"/>
      <color rgb="FF0000FF"/>
      <name val="Arial"/>
      <charset val="1"/>
    </font>
    <font>
      <sz val="9"/>
      <color rgb="FF595959"/>
      <name val="Arial"/>
      <charset val="1"/>
    </font>
    <font>
      <b/>
      <sz val="9"/>
      <color rgb="FF7F6000"/>
      <name val="Arial"/>
      <charset val="1"/>
    </font>
    <font>
      <b/>
      <sz val="9"/>
      <color rgb="FF7F3F00"/>
      <name val="Arial"/>
      <charset val="1"/>
    </font>
    <font>
      <b/>
      <sz val="9"/>
      <color rgb="FFCC0000"/>
      <name val="Arial"/>
      <charset val="1"/>
    </font>
    <font>
      <b/>
      <sz val="11"/>
      <color rgb="FF375623"/>
      <name val="Arial"/>
      <charset val="1"/>
    </font>
    <font>
      <b/>
      <sz val="11"/>
      <color rgb="FF7F6000"/>
      <name val="Arial"/>
      <charset val="1"/>
    </font>
    <font>
      <b/>
      <sz val="11"/>
      <color rgb="FF7F3F00"/>
      <name val="Arial"/>
      <charset val="1"/>
    </font>
    <font>
      <b/>
      <sz val="11"/>
      <color rgb="FFCC0000"/>
      <name val="Arial"/>
      <charset val="1"/>
    </font>
    <font>
      <b/>
      <sz val="9"/>
      <color rgb="FFFFFFFF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3"/>
      <color rgb="FF0000FF"/>
      <name val="Arial"/>
      <charset val="1"/>
    </font>
    <font>
      <b/>
      <sz val="11"/>
      <color rgb="FF595959"/>
      <name val="Arial"/>
      <charset val="1"/>
    </font>
    <font>
      <b/>
      <sz val="13"/>
      <color rgb="FFFFFFFF"/>
      <name val="Arial"/>
      <charset val="1"/>
    </font>
    <font>
      <b/>
      <sz val="14"/>
      <color rgb="FF7F6000"/>
      <name val="Arial"/>
      <charset val="1"/>
    </font>
    <font>
      <i/>
      <sz val="9"/>
      <color rgb="FF7F6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7F3F00"/>
      <name val="Arial"/>
      <charset val="1"/>
    </font>
    <font>
      <b/>
      <sz val="10"/>
      <color rgb="FFCC0000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b/>
      <sz val="9"/>
      <color rgb="FF1F3864"/>
      <name val="Arial"/>
      <charset val="1"/>
    </font>
    <font>
      <b/>
      <sz val="12"/>
      <color rgb="FFFFFFFF"/>
      <name val="Arial"/>
      <charset val="1"/>
    </font>
    <font>
      <sz val="10"/>
      <color rgb="FF595959"/>
      <name val="Arial"/>
      <charset val="1"/>
    </font>
    <font>
      <b/>
      <sz val="13"/>
      <color rgb="FF1F3864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D9EAD3"/>
        <bgColor rgb="FFD6E4F0"/>
      </patternFill>
    </fill>
    <fill>
      <patternFill patternType="solid">
        <fgColor rgb="FFF5F8FB"/>
        <bgColor rgb="FFF2F7FC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AFAFA"/>
        <bgColor rgb="FFF5F8FB"/>
      </patternFill>
    </fill>
    <fill>
      <patternFill patternType="solid">
        <fgColor rgb="FFF2F7FC"/>
        <bgColor rgb="FFF5F8FB"/>
      </patternFill>
    </fill>
    <fill>
      <patternFill patternType="solid">
        <fgColor rgb="FF274E13"/>
        <bgColor rgb="FF375623"/>
      </patternFill>
    </fill>
    <fill>
      <patternFill patternType="solid">
        <fgColor rgb="FFD6E4F0"/>
        <bgColor rgb="FFD9EAD3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274E13"/>
      </left>
      <right/>
      <top style="thin">
        <color rgb="FF274E13"/>
      </top>
      <bottom style="thin">
        <color rgb="FF274E1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  <diagonal/>
    </border>
    <border>
      <left style="thin">
        <color rgb="FFE69138"/>
      </left>
      <right/>
      <top style="thin">
        <color rgb="FFE69138"/>
      </top>
      <bottom style="thin">
        <color rgb="FFE69138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14" borderId="4" xfId="0" applyFont="1" applyFill="1" applyBorder="1" applyAlignment="1">
      <alignment horizontal="left" vertical="center"/>
    </xf>
    <xf numFmtId="0" fontId="30" fillId="2" borderId="2" xfId="0" applyFont="1" applyFill="1" applyBorder="1" applyAlignment="1">
      <alignment horizontal="right" vertical="center"/>
    </xf>
    <xf numFmtId="0" fontId="28" fillId="7" borderId="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right" vertical="center"/>
    </xf>
    <xf numFmtId="0" fontId="17" fillId="2" borderId="2" xfId="0" applyFont="1" applyFill="1" applyBorder="1" applyAlignment="1">
      <alignment horizontal="right" vertical="center"/>
    </xf>
    <xf numFmtId="0" fontId="2" fillId="10" borderId="4" xfId="0" applyFont="1" applyFill="1" applyBorder="1" applyAlignment="1">
      <alignment horizontal="left" vertical="center" wrapText="1"/>
    </xf>
    <xf numFmtId="0" fontId="15" fillId="1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left" vertical="top" wrapText="1"/>
    </xf>
    <xf numFmtId="0" fontId="14" fillId="9" borderId="1" xfId="0" applyFont="1" applyFill="1" applyBorder="1" applyAlignment="1">
      <alignment horizontal="center" vertical="top" wrapText="1"/>
    </xf>
    <xf numFmtId="0" fontId="10" fillId="11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right" vertical="center"/>
    </xf>
    <xf numFmtId="0" fontId="2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3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D9EAD3"/>
      <rgbColor rgb="FFFCE5CD"/>
      <rgbColor rgb="FFF2F2F2"/>
      <rgbColor rgb="FFF5F8FB"/>
      <rgbColor rgb="FFFAFAFA"/>
      <rgbColor rgb="FFF4CCCC"/>
      <rgbColor rgb="FF2E75B6"/>
      <rgbColor rgb="FF33CCCC"/>
      <rgbColor rgb="FF99CC00"/>
      <rgbColor rgb="FFFFCC00"/>
      <rgbColor rgb="FFE69138"/>
      <rgbColor rgb="FFFF6600"/>
      <rgbColor rgb="FF595959"/>
      <rgbColor rgb="FF969696"/>
      <rgbColor rgb="FF1F3864"/>
      <rgbColor rgb="FF339966"/>
      <rgbColor rgb="FF003300"/>
      <rgbColor rgb="FF274E13"/>
      <rgbColor rgb="FF7F3F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8" customWidth="1"/>
    <col min="2" max="2" width="20" customWidth="1"/>
    <col min="3" max="3" width="24" customWidth="1"/>
    <col min="4" max="4" width="36" customWidth="1"/>
    <col min="5" max="5" width="12" customWidth="1"/>
    <col min="6" max="6" width="8" customWidth="1"/>
    <col min="7" max="7" width="7" customWidth="1"/>
    <col min="8" max="8" width="18" customWidth="1"/>
    <col min="9" max="9" width="34" customWidth="1"/>
  </cols>
  <sheetData>
    <row r="1" spans="1:9" ht="37.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5.7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43.5" customHeight="1" x14ac:dyDescent="0.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</row>
    <row r="4" spans="1:9" ht="27.75" customHeight="1" x14ac:dyDescent="0.3">
      <c r="A4" s="15" t="s">
        <v>11</v>
      </c>
      <c r="B4" s="16" t="s">
        <v>12</v>
      </c>
      <c r="C4" s="16" t="s">
        <v>13</v>
      </c>
      <c r="D4" s="16" t="s">
        <v>14</v>
      </c>
      <c r="E4" s="17" t="s">
        <v>15</v>
      </c>
      <c r="F4" s="18">
        <v>0</v>
      </c>
      <c r="G4" s="19">
        <v>10</v>
      </c>
      <c r="H4" s="16" t="s">
        <v>16</v>
      </c>
      <c r="I4" s="16" t="s">
        <v>17</v>
      </c>
    </row>
    <row r="5" spans="1:9" ht="27.75" customHeight="1" x14ac:dyDescent="0.3">
      <c r="A5" s="20" t="s">
        <v>11</v>
      </c>
      <c r="B5" s="21" t="s">
        <v>12</v>
      </c>
      <c r="C5" s="21" t="s">
        <v>13</v>
      </c>
      <c r="D5" s="21" t="s">
        <v>18</v>
      </c>
      <c r="E5" s="22" t="s">
        <v>19</v>
      </c>
      <c r="F5" s="23">
        <v>4</v>
      </c>
      <c r="G5" s="24">
        <v>10</v>
      </c>
      <c r="H5" s="21" t="s">
        <v>16</v>
      </c>
      <c r="I5" s="21" t="s">
        <v>20</v>
      </c>
    </row>
    <row r="6" spans="1:9" ht="27.75" customHeight="1" x14ac:dyDescent="0.3">
      <c r="A6" s="15" t="s">
        <v>11</v>
      </c>
      <c r="B6" s="16" t="s">
        <v>12</v>
      </c>
      <c r="C6" s="16" t="s">
        <v>13</v>
      </c>
      <c r="D6" s="16" t="s">
        <v>21</v>
      </c>
      <c r="E6" s="25" t="s">
        <v>22</v>
      </c>
      <c r="F6" s="18">
        <v>7</v>
      </c>
      <c r="G6" s="19">
        <v>10</v>
      </c>
      <c r="H6" s="16" t="s">
        <v>16</v>
      </c>
      <c r="I6" s="16" t="s">
        <v>23</v>
      </c>
    </row>
    <row r="7" spans="1:9" ht="27.75" customHeight="1" x14ac:dyDescent="0.3">
      <c r="A7" s="20" t="s">
        <v>11</v>
      </c>
      <c r="B7" s="21" t="s">
        <v>12</v>
      </c>
      <c r="C7" s="21" t="s">
        <v>13</v>
      </c>
      <c r="D7" s="21" t="s">
        <v>24</v>
      </c>
      <c r="E7" s="26" t="s">
        <v>25</v>
      </c>
      <c r="F7" s="23">
        <v>10</v>
      </c>
      <c r="G7" s="24">
        <v>10</v>
      </c>
      <c r="H7" s="21" t="s">
        <v>16</v>
      </c>
      <c r="I7" s="21" t="s">
        <v>26</v>
      </c>
    </row>
    <row r="8" spans="1:9" ht="27.75" customHeight="1" x14ac:dyDescent="0.3">
      <c r="A8" s="15" t="s">
        <v>27</v>
      </c>
      <c r="B8" s="16" t="s">
        <v>12</v>
      </c>
      <c r="C8" s="16" t="s">
        <v>28</v>
      </c>
      <c r="D8" s="16" t="s">
        <v>29</v>
      </c>
      <c r="E8" s="17" t="s">
        <v>15</v>
      </c>
      <c r="F8" s="18">
        <v>0</v>
      </c>
      <c r="G8" s="19">
        <v>6</v>
      </c>
      <c r="H8" s="16" t="s">
        <v>30</v>
      </c>
      <c r="I8" s="16" t="s">
        <v>31</v>
      </c>
    </row>
    <row r="9" spans="1:9" ht="27.75" customHeight="1" x14ac:dyDescent="0.3">
      <c r="A9" s="20" t="s">
        <v>27</v>
      </c>
      <c r="B9" s="21" t="s">
        <v>12</v>
      </c>
      <c r="C9" s="21" t="s">
        <v>28</v>
      </c>
      <c r="D9" s="21" t="s">
        <v>32</v>
      </c>
      <c r="E9" s="22" t="s">
        <v>19</v>
      </c>
      <c r="F9" s="23">
        <v>2</v>
      </c>
      <c r="G9" s="24">
        <v>6</v>
      </c>
      <c r="H9" s="21" t="s">
        <v>30</v>
      </c>
      <c r="I9" s="21" t="s">
        <v>33</v>
      </c>
    </row>
    <row r="10" spans="1:9" ht="27.75" customHeight="1" x14ac:dyDescent="0.3">
      <c r="A10" s="15" t="s">
        <v>27</v>
      </c>
      <c r="B10" s="16" t="s">
        <v>12</v>
      </c>
      <c r="C10" s="16" t="s">
        <v>28</v>
      </c>
      <c r="D10" s="16" t="s">
        <v>34</v>
      </c>
      <c r="E10" s="25" t="s">
        <v>22</v>
      </c>
      <c r="F10" s="18">
        <v>4</v>
      </c>
      <c r="G10" s="19">
        <v>6</v>
      </c>
      <c r="H10" s="16" t="s">
        <v>30</v>
      </c>
      <c r="I10" s="16" t="s">
        <v>35</v>
      </c>
    </row>
    <row r="11" spans="1:9" ht="27.75" customHeight="1" x14ac:dyDescent="0.3">
      <c r="A11" s="20" t="s">
        <v>27</v>
      </c>
      <c r="B11" s="21" t="s">
        <v>12</v>
      </c>
      <c r="C11" s="21" t="s">
        <v>28</v>
      </c>
      <c r="D11" s="21" t="s">
        <v>36</v>
      </c>
      <c r="E11" s="26" t="s">
        <v>25</v>
      </c>
      <c r="F11" s="23">
        <v>6</v>
      </c>
      <c r="G11" s="24">
        <v>6</v>
      </c>
      <c r="H11" s="21" t="s">
        <v>30</v>
      </c>
      <c r="I11" s="21" t="s">
        <v>37</v>
      </c>
    </row>
    <row r="12" spans="1:9" ht="27.75" customHeight="1" x14ac:dyDescent="0.3">
      <c r="A12" s="15" t="s">
        <v>38</v>
      </c>
      <c r="B12" s="16" t="s">
        <v>39</v>
      </c>
      <c r="C12" s="16" t="s">
        <v>40</v>
      </c>
      <c r="D12" s="16" t="s">
        <v>41</v>
      </c>
      <c r="E12" s="17" t="s">
        <v>15</v>
      </c>
      <c r="F12" s="18">
        <v>0</v>
      </c>
      <c r="G12" s="19">
        <v>8</v>
      </c>
      <c r="H12" s="16" t="s">
        <v>42</v>
      </c>
      <c r="I12" s="16" t="s">
        <v>43</v>
      </c>
    </row>
    <row r="13" spans="1:9" ht="27.75" customHeight="1" x14ac:dyDescent="0.3">
      <c r="A13" s="20" t="s">
        <v>38</v>
      </c>
      <c r="B13" s="21" t="s">
        <v>39</v>
      </c>
      <c r="C13" s="21" t="s">
        <v>40</v>
      </c>
      <c r="D13" s="21" t="s">
        <v>44</v>
      </c>
      <c r="E13" s="22" t="s">
        <v>19</v>
      </c>
      <c r="F13" s="23">
        <v>3</v>
      </c>
      <c r="G13" s="24">
        <v>8</v>
      </c>
      <c r="H13" s="21" t="s">
        <v>42</v>
      </c>
      <c r="I13" s="21" t="s">
        <v>45</v>
      </c>
    </row>
    <row r="14" spans="1:9" ht="27.75" customHeight="1" x14ac:dyDescent="0.3">
      <c r="A14" s="15" t="s">
        <v>38</v>
      </c>
      <c r="B14" s="16" t="s">
        <v>39</v>
      </c>
      <c r="C14" s="16" t="s">
        <v>40</v>
      </c>
      <c r="D14" s="16" t="s">
        <v>46</v>
      </c>
      <c r="E14" s="25" t="s">
        <v>22</v>
      </c>
      <c r="F14" s="18">
        <v>6</v>
      </c>
      <c r="G14" s="19">
        <v>8</v>
      </c>
      <c r="H14" s="16" t="s">
        <v>42</v>
      </c>
      <c r="I14" s="16" t="s">
        <v>47</v>
      </c>
    </row>
    <row r="15" spans="1:9" ht="27.75" customHeight="1" x14ac:dyDescent="0.3">
      <c r="A15" s="20" t="s">
        <v>38</v>
      </c>
      <c r="B15" s="21" t="s">
        <v>39</v>
      </c>
      <c r="C15" s="21" t="s">
        <v>40</v>
      </c>
      <c r="D15" s="21" t="s">
        <v>48</v>
      </c>
      <c r="E15" s="26" t="s">
        <v>25</v>
      </c>
      <c r="F15" s="23">
        <v>8</v>
      </c>
      <c r="G15" s="24">
        <v>8</v>
      </c>
      <c r="H15" s="21" t="s">
        <v>42</v>
      </c>
      <c r="I15" s="21" t="s">
        <v>49</v>
      </c>
    </row>
    <row r="16" spans="1:9" ht="27.75" customHeight="1" x14ac:dyDescent="0.3">
      <c r="A16" s="15" t="s">
        <v>50</v>
      </c>
      <c r="B16" s="16" t="s">
        <v>51</v>
      </c>
      <c r="C16" s="16" t="s">
        <v>52</v>
      </c>
      <c r="D16" s="16" t="s">
        <v>53</v>
      </c>
      <c r="E16" s="17" t="s">
        <v>15</v>
      </c>
      <c r="F16" s="18">
        <v>0</v>
      </c>
      <c r="G16" s="19">
        <v>8</v>
      </c>
      <c r="H16" s="16" t="s">
        <v>54</v>
      </c>
      <c r="I16" s="16" t="s">
        <v>55</v>
      </c>
    </row>
    <row r="17" spans="1:9" ht="27.75" customHeight="1" x14ac:dyDescent="0.3">
      <c r="A17" s="20" t="s">
        <v>50</v>
      </c>
      <c r="B17" s="21" t="s">
        <v>51</v>
      </c>
      <c r="C17" s="21" t="s">
        <v>52</v>
      </c>
      <c r="D17" s="21" t="s">
        <v>56</v>
      </c>
      <c r="E17" s="22" t="s">
        <v>19</v>
      </c>
      <c r="F17" s="23">
        <v>3</v>
      </c>
      <c r="G17" s="24">
        <v>8</v>
      </c>
      <c r="H17" s="21" t="s">
        <v>54</v>
      </c>
      <c r="I17" s="21" t="s">
        <v>57</v>
      </c>
    </row>
    <row r="18" spans="1:9" ht="27.75" customHeight="1" x14ac:dyDescent="0.3">
      <c r="A18" s="15" t="s">
        <v>50</v>
      </c>
      <c r="B18" s="16" t="s">
        <v>51</v>
      </c>
      <c r="C18" s="16" t="s">
        <v>52</v>
      </c>
      <c r="D18" s="16" t="s">
        <v>58</v>
      </c>
      <c r="E18" s="25" t="s">
        <v>22</v>
      </c>
      <c r="F18" s="18">
        <v>6</v>
      </c>
      <c r="G18" s="19">
        <v>8</v>
      </c>
      <c r="H18" s="16" t="s">
        <v>54</v>
      </c>
      <c r="I18" s="16" t="s">
        <v>59</v>
      </c>
    </row>
    <row r="19" spans="1:9" ht="27.75" customHeight="1" x14ac:dyDescent="0.3">
      <c r="A19" s="20" t="s">
        <v>50</v>
      </c>
      <c r="B19" s="21" t="s">
        <v>51</v>
      </c>
      <c r="C19" s="21" t="s">
        <v>52</v>
      </c>
      <c r="D19" s="21" t="s">
        <v>60</v>
      </c>
      <c r="E19" s="26" t="s">
        <v>25</v>
      </c>
      <c r="F19" s="23">
        <v>8</v>
      </c>
      <c r="G19" s="24">
        <v>8</v>
      </c>
      <c r="H19" s="21" t="s">
        <v>54</v>
      </c>
      <c r="I19" s="21" t="s">
        <v>61</v>
      </c>
    </row>
    <row r="20" spans="1:9" ht="27.75" customHeight="1" x14ac:dyDescent="0.3">
      <c r="A20" s="15" t="s">
        <v>62</v>
      </c>
      <c r="B20" s="16" t="s">
        <v>51</v>
      </c>
      <c r="C20" s="16" t="s">
        <v>63</v>
      </c>
      <c r="D20" s="16" t="s">
        <v>64</v>
      </c>
      <c r="E20" s="17" t="s">
        <v>15</v>
      </c>
      <c r="F20" s="18">
        <v>0</v>
      </c>
      <c r="G20" s="19">
        <v>6</v>
      </c>
      <c r="H20" s="16" t="s">
        <v>54</v>
      </c>
      <c r="I20" s="16" t="s">
        <v>65</v>
      </c>
    </row>
    <row r="21" spans="1:9" ht="27.75" customHeight="1" x14ac:dyDescent="0.3">
      <c r="A21" s="20" t="s">
        <v>62</v>
      </c>
      <c r="B21" s="21" t="s">
        <v>51</v>
      </c>
      <c r="C21" s="21" t="s">
        <v>63</v>
      </c>
      <c r="D21" s="21" t="s">
        <v>66</v>
      </c>
      <c r="E21" s="17" t="s">
        <v>15</v>
      </c>
      <c r="F21" s="23">
        <v>1</v>
      </c>
      <c r="G21" s="24">
        <v>6</v>
      </c>
      <c r="H21" s="21" t="s">
        <v>54</v>
      </c>
      <c r="I21" s="21" t="s">
        <v>67</v>
      </c>
    </row>
    <row r="22" spans="1:9" ht="27.75" customHeight="1" x14ac:dyDescent="0.3">
      <c r="A22" s="15" t="s">
        <v>62</v>
      </c>
      <c r="B22" s="16" t="s">
        <v>51</v>
      </c>
      <c r="C22" s="16" t="s">
        <v>63</v>
      </c>
      <c r="D22" s="16" t="s">
        <v>68</v>
      </c>
      <c r="E22" s="25" t="s">
        <v>22</v>
      </c>
      <c r="F22" s="18">
        <v>4</v>
      </c>
      <c r="G22" s="19">
        <v>6</v>
      </c>
      <c r="H22" s="16" t="s">
        <v>54</v>
      </c>
      <c r="I22" s="16" t="s">
        <v>69</v>
      </c>
    </row>
    <row r="23" spans="1:9" ht="27.75" customHeight="1" x14ac:dyDescent="0.3">
      <c r="A23" s="20" t="s">
        <v>62</v>
      </c>
      <c r="B23" s="21" t="s">
        <v>51</v>
      </c>
      <c r="C23" s="21" t="s">
        <v>63</v>
      </c>
      <c r="D23" s="21" t="s">
        <v>70</v>
      </c>
      <c r="E23" s="26" t="s">
        <v>25</v>
      </c>
      <c r="F23" s="23">
        <v>6</v>
      </c>
      <c r="G23" s="24">
        <v>6</v>
      </c>
      <c r="H23" s="21" t="s">
        <v>54</v>
      </c>
      <c r="I23" s="21" t="s">
        <v>71</v>
      </c>
    </row>
    <row r="24" spans="1:9" ht="27.75" customHeight="1" x14ac:dyDescent="0.3">
      <c r="A24" s="15" t="s">
        <v>72</v>
      </c>
      <c r="B24" s="16" t="s">
        <v>73</v>
      </c>
      <c r="C24" s="16" t="s">
        <v>74</v>
      </c>
      <c r="D24" s="16" t="s">
        <v>75</v>
      </c>
      <c r="E24" s="17" t="s">
        <v>15</v>
      </c>
      <c r="F24" s="18">
        <v>0</v>
      </c>
      <c r="G24" s="19">
        <v>6</v>
      </c>
      <c r="H24" s="16" t="s">
        <v>30</v>
      </c>
      <c r="I24" s="16" t="s">
        <v>76</v>
      </c>
    </row>
    <row r="25" spans="1:9" ht="27.75" customHeight="1" x14ac:dyDescent="0.3">
      <c r="A25" s="20" t="s">
        <v>72</v>
      </c>
      <c r="B25" s="21" t="s">
        <v>73</v>
      </c>
      <c r="C25" s="21" t="s">
        <v>74</v>
      </c>
      <c r="D25" s="21" t="s">
        <v>77</v>
      </c>
      <c r="E25" s="22" t="s">
        <v>19</v>
      </c>
      <c r="F25" s="23">
        <v>2</v>
      </c>
      <c r="G25" s="24">
        <v>6</v>
      </c>
      <c r="H25" s="21" t="s">
        <v>30</v>
      </c>
      <c r="I25" s="21" t="s">
        <v>78</v>
      </c>
    </row>
    <row r="26" spans="1:9" ht="27.75" customHeight="1" x14ac:dyDescent="0.3">
      <c r="A26" s="15" t="s">
        <v>72</v>
      </c>
      <c r="B26" s="16" t="s">
        <v>73</v>
      </c>
      <c r="C26" s="16" t="s">
        <v>74</v>
      </c>
      <c r="D26" s="16" t="s">
        <v>79</v>
      </c>
      <c r="E26" s="25" t="s">
        <v>22</v>
      </c>
      <c r="F26" s="18">
        <v>4</v>
      </c>
      <c r="G26" s="19">
        <v>6</v>
      </c>
      <c r="H26" s="16" t="s">
        <v>30</v>
      </c>
      <c r="I26" s="16" t="s">
        <v>80</v>
      </c>
    </row>
    <row r="27" spans="1:9" ht="27.75" customHeight="1" x14ac:dyDescent="0.3">
      <c r="A27" s="20" t="s">
        <v>72</v>
      </c>
      <c r="B27" s="21" t="s">
        <v>73</v>
      </c>
      <c r="C27" s="21" t="s">
        <v>74</v>
      </c>
      <c r="D27" s="21" t="s">
        <v>81</v>
      </c>
      <c r="E27" s="26" t="s">
        <v>25</v>
      </c>
      <c r="F27" s="23">
        <v>6</v>
      </c>
      <c r="G27" s="24">
        <v>6</v>
      </c>
      <c r="H27" s="21" t="s">
        <v>30</v>
      </c>
      <c r="I27" s="21" t="s">
        <v>82</v>
      </c>
    </row>
    <row r="28" spans="1:9" ht="27.75" customHeight="1" x14ac:dyDescent="0.3">
      <c r="A28" s="15" t="s">
        <v>83</v>
      </c>
      <c r="B28" s="16" t="s">
        <v>73</v>
      </c>
      <c r="C28" s="16" t="s">
        <v>84</v>
      </c>
      <c r="D28" s="16" t="s">
        <v>85</v>
      </c>
      <c r="E28" s="17" t="s">
        <v>15</v>
      </c>
      <c r="F28" s="18">
        <v>0</v>
      </c>
      <c r="G28" s="19">
        <v>6</v>
      </c>
      <c r="H28" s="16" t="s">
        <v>16</v>
      </c>
      <c r="I28" s="16" t="s">
        <v>86</v>
      </c>
    </row>
    <row r="29" spans="1:9" ht="27.75" customHeight="1" x14ac:dyDescent="0.3">
      <c r="A29" s="20" t="s">
        <v>83</v>
      </c>
      <c r="B29" s="21" t="s">
        <v>73</v>
      </c>
      <c r="C29" s="21" t="s">
        <v>84</v>
      </c>
      <c r="D29" s="21" t="s">
        <v>87</v>
      </c>
      <c r="E29" s="22" t="s">
        <v>19</v>
      </c>
      <c r="F29" s="23">
        <v>2</v>
      </c>
      <c r="G29" s="24">
        <v>6</v>
      </c>
      <c r="H29" s="21" t="s">
        <v>16</v>
      </c>
      <c r="I29" s="21" t="s">
        <v>33</v>
      </c>
    </row>
    <row r="30" spans="1:9" ht="27.75" customHeight="1" x14ac:dyDescent="0.3">
      <c r="A30" s="15" t="s">
        <v>83</v>
      </c>
      <c r="B30" s="16" t="s">
        <v>73</v>
      </c>
      <c r="C30" s="16" t="s">
        <v>84</v>
      </c>
      <c r="D30" s="16" t="s">
        <v>88</v>
      </c>
      <c r="E30" s="25" t="s">
        <v>22</v>
      </c>
      <c r="F30" s="18">
        <v>4</v>
      </c>
      <c r="G30" s="19">
        <v>6</v>
      </c>
      <c r="H30" s="16" t="s">
        <v>16</v>
      </c>
      <c r="I30" s="16" t="s">
        <v>89</v>
      </c>
    </row>
    <row r="31" spans="1:9" ht="27.75" customHeight="1" x14ac:dyDescent="0.3">
      <c r="A31" s="20" t="s">
        <v>83</v>
      </c>
      <c r="B31" s="21" t="s">
        <v>73</v>
      </c>
      <c r="C31" s="21" t="s">
        <v>84</v>
      </c>
      <c r="D31" s="21" t="s">
        <v>90</v>
      </c>
      <c r="E31" s="26" t="s">
        <v>25</v>
      </c>
      <c r="F31" s="23">
        <v>6</v>
      </c>
      <c r="G31" s="24">
        <v>6</v>
      </c>
      <c r="H31" s="21" t="s">
        <v>16</v>
      </c>
      <c r="I31" s="21" t="s">
        <v>91</v>
      </c>
    </row>
    <row r="32" spans="1:9" ht="27.75" customHeight="1" x14ac:dyDescent="0.3">
      <c r="A32" s="15" t="s">
        <v>92</v>
      </c>
      <c r="B32" s="16" t="s">
        <v>93</v>
      </c>
      <c r="C32" s="16" t="s">
        <v>94</v>
      </c>
      <c r="D32" s="16" t="s">
        <v>95</v>
      </c>
      <c r="E32" s="17" t="s">
        <v>15</v>
      </c>
      <c r="F32" s="18">
        <v>0</v>
      </c>
      <c r="G32" s="19">
        <v>8</v>
      </c>
      <c r="H32" s="16" t="s">
        <v>42</v>
      </c>
      <c r="I32" s="16" t="s">
        <v>96</v>
      </c>
    </row>
    <row r="33" spans="1:9" ht="27.75" customHeight="1" x14ac:dyDescent="0.3">
      <c r="A33" s="20" t="s">
        <v>92</v>
      </c>
      <c r="B33" s="21" t="s">
        <v>93</v>
      </c>
      <c r="C33" s="21" t="s">
        <v>94</v>
      </c>
      <c r="D33" s="21" t="s">
        <v>97</v>
      </c>
      <c r="E33" s="17" t="s">
        <v>15</v>
      </c>
      <c r="F33" s="23">
        <v>1</v>
      </c>
      <c r="G33" s="24">
        <v>8</v>
      </c>
      <c r="H33" s="21" t="s">
        <v>42</v>
      </c>
      <c r="I33" s="21" t="s">
        <v>98</v>
      </c>
    </row>
    <row r="34" spans="1:9" ht="27.75" customHeight="1" x14ac:dyDescent="0.3">
      <c r="A34" s="15" t="s">
        <v>92</v>
      </c>
      <c r="B34" s="16" t="s">
        <v>93</v>
      </c>
      <c r="C34" s="16" t="s">
        <v>94</v>
      </c>
      <c r="D34" s="16" t="s">
        <v>99</v>
      </c>
      <c r="E34" s="25" t="s">
        <v>22</v>
      </c>
      <c r="F34" s="18">
        <v>5</v>
      </c>
      <c r="G34" s="19">
        <v>8</v>
      </c>
      <c r="H34" s="16" t="s">
        <v>42</v>
      </c>
      <c r="I34" s="16" t="s">
        <v>100</v>
      </c>
    </row>
    <row r="35" spans="1:9" ht="27.75" customHeight="1" x14ac:dyDescent="0.3">
      <c r="A35" s="20" t="s">
        <v>92</v>
      </c>
      <c r="B35" s="21" t="s">
        <v>93</v>
      </c>
      <c r="C35" s="21" t="s">
        <v>94</v>
      </c>
      <c r="D35" s="21" t="s">
        <v>101</v>
      </c>
      <c r="E35" s="26" t="s">
        <v>25</v>
      </c>
      <c r="F35" s="23">
        <v>8</v>
      </c>
      <c r="G35" s="24">
        <v>8</v>
      </c>
      <c r="H35" s="21" t="s">
        <v>42</v>
      </c>
      <c r="I35" s="21" t="s">
        <v>102</v>
      </c>
    </row>
    <row r="36" spans="1:9" ht="27.75" customHeight="1" x14ac:dyDescent="0.3">
      <c r="A36" s="15" t="s">
        <v>103</v>
      </c>
      <c r="B36" s="16" t="s">
        <v>93</v>
      </c>
      <c r="C36" s="16" t="s">
        <v>104</v>
      </c>
      <c r="D36" s="16" t="s">
        <v>105</v>
      </c>
      <c r="E36" s="17" t="s">
        <v>15</v>
      </c>
      <c r="F36" s="18">
        <v>0</v>
      </c>
      <c r="G36" s="19">
        <v>8</v>
      </c>
      <c r="H36" s="16" t="s">
        <v>16</v>
      </c>
      <c r="I36" s="16" t="s">
        <v>106</v>
      </c>
    </row>
    <row r="37" spans="1:9" ht="27.75" customHeight="1" x14ac:dyDescent="0.3">
      <c r="A37" s="20" t="s">
        <v>103</v>
      </c>
      <c r="B37" s="21" t="s">
        <v>93</v>
      </c>
      <c r="C37" s="21" t="s">
        <v>104</v>
      </c>
      <c r="D37" s="21" t="s">
        <v>107</v>
      </c>
      <c r="E37" s="22" t="s">
        <v>19</v>
      </c>
      <c r="F37" s="23">
        <v>3</v>
      </c>
      <c r="G37" s="24">
        <v>8</v>
      </c>
      <c r="H37" s="21" t="s">
        <v>16</v>
      </c>
      <c r="I37" s="21" t="s">
        <v>108</v>
      </c>
    </row>
    <row r="38" spans="1:9" ht="27.75" customHeight="1" x14ac:dyDescent="0.3">
      <c r="A38" s="15" t="s">
        <v>103</v>
      </c>
      <c r="B38" s="16" t="s">
        <v>93</v>
      </c>
      <c r="C38" s="16" t="s">
        <v>104</v>
      </c>
      <c r="D38" s="16" t="s">
        <v>109</v>
      </c>
      <c r="E38" s="25" t="s">
        <v>22</v>
      </c>
      <c r="F38" s="18">
        <v>6</v>
      </c>
      <c r="G38" s="19">
        <v>8</v>
      </c>
      <c r="H38" s="16" t="s">
        <v>16</v>
      </c>
      <c r="I38" s="16" t="s">
        <v>110</v>
      </c>
    </row>
    <row r="39" spans="1:9" ht="27.75" customHeight="1" x14ac:dyDescent="0.3">
      <c r="A39" s="20" t="s">
        <v>103</v>
      </c>
      <c r="B39" s="21" t="s">
        <v>93</v>
      </c>
      <c r="C39" s="21" t="s">
        <v>104</v>
      </c>
      <c r="D39" s="21" t="s">
        <v>111</v>
      </c>
      <c r="E39" s="26" t="s">
        <v>25</v>
      </c>
      <c r="F39" s="23">
        <v>8</v>
      </c>
      <c r="G39" s="24">
        <v>8</v>
      </c>
      <c r="H39" s="21" t="s">
        <v>16</v>
      </c>
      <c r="I39" s="21" t="s">
        <v>112</v>
      </c>
    </row>
    <row r="40" spans="1:9" ht="27.75" customHeight="1" x14ac:dyDescent="0.3">
      <c r="A40" s="15" t="s">
        <v>113</v>
      </c>
      <c r="B40" s="16" t="s">
        <v>114</v>
      </c>
      <c r="C40" s="16" t="s">
        <v>115</v>
      </c>
      <c r="D40" s="16" t="s">
        <v>116</v>
      </c>
      <c r="E40" s="17" t="s">
        <v>15</v>
      </c>
      <c r="F40" s="18">
        <v>0</v>
      </c>
      <c r="G40" s="19">
        <v>6</v>
      </c>
      <c r="H40" s="16" t="s">
        <v>117</v>
      </c>
      <c r="I40" s="16" t="s">
        <v>118</v>
      </c>
    </row>
    <row r="41" spans="1:9" ht="27.75" customHeight="1" x14ac:dyDescent="0.3">
      <c r="A41" s="20" t="s">
        <v>113</v>
      </c>
      <c r="B41" s="21" t="s">
        <v>114</v>
      </c>
      <c r="C41" s="21" t="s">
        <v>115</v>
      </c>
      <c r="D41" s="21" t="s">
        <v>119</v>
      </c>
      <c r="E41" s="22" t="s">
        <v>19</v>
      </c>
      <c r="F41" s="23">
        <v>2</v>
      </c>
      <c r="G41" s="24">
        <v>6</v>
      </c>
      <c r="H41" s="21" t="s">
        <v>117</v>
      </c>
      <c r="I41" s="21" t="s">
        <v>120</v>
      </c>
    </row>
    <row r="42" spans="1:9" ht="27.75" customHeight="1" x14ac:dyDescent="0.3">
      <c r="A42" s="15" t="s">
        <v>113</v>
      </c>
      <c r="B42" s="16" t="s">
        <v>114</v>
      </c>
      <c r="C42" s="16" t="s">
        <v>115</v>
      </c>
      <c r="D42" s="16" t="s">
        <v>121</v>
      </c>
      <c r="E42" s="25" t="s">
        <v>22</v>
      </c>
      <c r="F42" s="18">
        <v>4</v>
      </c>
      <c r="G42" s="19">
        <v>6</v>
      </c>
      <c r="H42" s="16" t="s">
        <v>117</v>
      </c>
      <c r="I42" s="16" t="s">
        <v>122</v>
      </c>
    </row>
    <row r="43" spans="1:9" ht="27.75" customHeight="1" x14ac:dyDescent="0.3">
      <c r="A43" s="20" t="s">
        <v>113</v>
      </c>
      <c r="B43" s="21" t="s">
        <v>114</v>
      </c>
      <c r="C43" s="21" t="s">
        <v>115</v>
      </c>
      <c r="D43" s="21" t="s">
        <v>123</v>
      </c>
      <c r="E43" s="26" t="s">
        <v>25</v>
      </c>
      <c r="F43" s="23">
        <v>6</v>
      </c>
      <c r="G43" s="24">
        <v>6</v>
      </c>
      <c r="H43" s="21" t="s">
        <v>117</v>
      </c>
      <c r="I43" s="21" t="s">
        <v>124</v>
      </c>
    </row>
    <row r="44" spans="1:9" ht="27.75" customHeight="1" x14ac:dyDescent="0.3">
      <c r="A44" s="15" t="s">
        <v>125</v>
      </c>
      <c r="B44" s="16" t="s">
        <v>114</v>
      </c>
      <c r="C44" s="16" t="s">
        <v>126</v>
      </c>
      <c r="D44" s="16" t="s">
        <v>127</v>
      </c>
      <c r="E44" s="17" t="s">
        <v>15</v>
      </c>
      <c r="F44" s="18">
        <v>0</v>
      </c>
      <c r="G44" s="19">
        <v>6</v>
      </c>
      <c r="H44" s="16" t="s">
        <v>117</v>
      </c>
      <c r="I44" s="16" t="s">
        <v>128</v>
      </c>
    </row>
    <row r="45" spans="1:9" ht="27.75" customHeight="1" x14ac:dyDescent="0.3">
      <c r="A45" s="20" t="s">
        <v>125</v>
      </c>
      <c r="B45" s="21" t="s">
        <v>114</v>
      </c>
      <c r="C45" s="21" t="s">
        <v>126</v>
      </c>
      <c r="D45" s="21" t="s">
        <v>129</v>
      </c>
      <c r="E45" s="22" t="s">
        <v>19</v>
      </c>
      <c r="F45" s="23">
        <v>2</v>
      </c>
      <c r="G45" s="24">
        <v>6</v>
      </c>
      <c r="H45" s="21" t="s">
        <v>117</v>
      </c>
      <c r="I45" s="21" t="s">
        <v>130</v>
      </c>
    </row>
    <row r="46" spans="1:9" ht="27.75" customHeight="1" x14ac:dyDescent="0.3">
      <c r="A46" s="15" t="s">
        <v>125</v>
      </c>
      <c r="B46" s="16" t="s">
        <v>114</v>
      </c>
      <c r="C46" s="16" t="s">
        <v>126</v>
      </c>
      <c r="D46" s="16" t="s">
        <v>131</v>
      </c>
      <c r="E46" s="25" t="s">
        <v>22</v>
      </c>
      <c r="F46" s="18">
        <v>4</v>
      </c>
      <c r="G46" s="19">
        <v>6</v>
      </c>
      <c r="H46" s="16" t="s">
        <v>117</v>
      </c>
      <c r="I46" s="16" t="s">
        <v>132</v>
      </c>
    </row>
    <row r="47" spans="1:9" ht="27.75" customHeight="1" x14ac:dyDescent="0.3">
      <c r="A47" s="20" t="s">
        <v>125</v>
      </c>
      <c r="B47" s="21" t="s">
        <v>114</v>
      </c>
      <c r="C47" s="21" t="s">
        <v>126</v>
      </c>
      <c r="D47" s="21" t="s">
        <v>133</v>
      </c>
      <c r="E47" s="26" t="s">
        <v>25</v>
      </c>
      <c r="F47" s="23">
        <v>6</v>
      </c>
      <c r="G47" s="24">
        <v>6</v>
      </c>
      <c r="H47" s="21" t="s">
        <v>117</v>
      </c>
      <c r="I47" s="21" t="s">
        <v>134</v>
      </c>
    </row>
    <row r="48" spans="1:9" ht="27.75" customHeight="1" x14ac:dyDescent="0.3">
      <c r="A48" s="15" t="s">
        <v>135</v>
      </c>
      <c r="B48" s="16" t="s">
        <v>136</v>
      </c>
      <c r="C48" s="16" t="s">
        <v>137</v>
      </c>
      <c r="D48" s="16" t="s">
        <v>138</v>
      </c>
      <c r="E48" s="17" t="s">
        <v>15</v>
      </c>
      <c r="F48" s="18">
        <v>0</v>
      </c>
      <c r="G48" s="19">
        <v>8</v>
      </c>
      <c r="H48" s="16" t="s">
        <v>139</v>
      </c>
      <c r="I48" s="16" t="s">
        <v>140</v>
      </c>
    </row>
    <row r="49" spans="1:9" ht="27.75" customHeight="1" x14ac:dyDescent="0.3">
      <c r="A49" s="20" t="s">
        <v>135</v>
      </c>
      <c r="B49" s="21" t="s">
        <v>136</v>
      </c>
      <c r="C49" s="21" t="s">
        <v>137</v>
      </c>
      <c r="D49" s="21" t="s">
        <v>141</v>
      </c>
      <c r="E49" s="22" t="s">
        <v>19</v>
      </c>
      <c r="F49" s="23">
        <v>3</v>
      </c>
      <c r="G49" s="24">
        <v>8</v>
      </c>
      <c r="H49" s="21" t="s">
        <v>139</v>
      </c>
      <c r="I49" s="21" t="s">
        <v>142</v>
      </c>
    </row>
    <row r="50" spans="1:9" ht="27.75" customHeight="1" x14ac:dyDescent="0.3">
      <c r="A50" s="15" t="s">
        <v>135</v>
      </c>
      <c r="B50" s="16" t="s">
        <v>136</v>
      </c>
      <c r="C50" s="16" t="s">
        <v>137</v>
      </c>
      <c r="D50" s="16" t="s">
        <v>143</v>
      </c>
      <c r="E50" s="25" t="s">
        <v>22</v>
      </c>
      <c r="F50" s="18">
        <v>6</v>
      </c>
      <c r="G50" s="19">
        <v>8</v>
      </c>
      <c r="H50" s="16" t="s">
        <v>139</v>
      </c>
      <c r="I50" s="16" t="s">
        <v>144</v>
      </c>
    </row>
    <row r="51" spans="1:9" ht="27.75" customHeight="1" x14ac:dyDescent="0.3">
      <c r="A51" s="20" t="s">
        <v>135</v>
      </c>
      <c r="B51" s="21" t="s">
        <v>136</v>
      </c>
      <c r="C51" s="21" t="s">
        <v>137</v>
      </c>
      <c r="D51" s="21" t="s">
        <v>145</v>
      </c>
      <c r="E51" s="26" t="s">
        <v>25</v>
      </c>
      <c r="F51" s="23">
        <v>8</v>
      </c>
      <c r="G51" s="24">
        <v>8</v>
      </c>
      <c r="H51" s="21" t="s">
        <v>139</v>
      </c>
      <c r="I51" s="21" t="s">
        <v>146</v>
      </c>
    </row>
    <row r="52" spans="1:9" ht="27.75" customHeight="1" x14ac:dyDescent="0.3">
      <c r="A52" s="15" t="s">
        <v>147</v>
      </c>
      <c r="B52" s="16" t="s">
        <v>136</v>
      </c>
      <c r="C52" s="16" t="s">
        <v>148</v>
      </c>
      <c r="D52" s="16" t="s">
        <v>149</v>
      </c>
      <c r="E52" s="17" t="s">
        <v>15</v>
      </c>
      <c r="F52" s="18">
        <v>0</v>
      </c>
      <c r="G52" s="19">
        <v>8</v>
      </c>
      <c r="H52" s="16" t="s">
        <v>16</v>
      </c>
      <c r="I52" s="16" t="s">
        <v>150</v>
      </c>
    </row>
    <row r="53" spans="1:9" ht="27.75" customHeight="1" x14ac:dyDescent="0.3">
      <c r="A53" s="20" t="s">
        <v>147</v>
      </c>
      <c r="B53" s="21" t="s">
        <v>136</v>
      </c>
      <c r="C53" s="21" t="s">
        <v>148</v>
      </c>
      <c r="D53" s="21" t="s">
        <v>151</v>
      </c>
      <c r="E53" s="22" t="s">
        <v>19</v>
      </c>
      <c r="F53" s="23">
        <v>3</v>
      </c>
      <c r="G53" s="24">
        <v>8</v>
      </c>
      <c r="H53" s="21" t="s">
        <v>16</v>
      </c>
      <c r="I53" s="21" t="s">
        <v>152</v>
      </c>
    </row>
    <row r="54" spans="1:9" ht="27.75" customHeight="1" x14ac:dyDescent="0.3">
      <c r="A54" s="15" t="s">
        <v>147</v>
      </c>
      <c r="B54" s="16" t="s">
        <v>136</v>
      </c>
      <c r="C54" s="16" t="s">
        <v>148</v>
      </c>
      <c r="D54" s="16" t="s">
        <v>153</v>
      </c>
      <c r="E54" s="25" t="s">
        <v>22</v>
      </c>
      <c r="F54" s="18">
        <v>6</v>
      </c>
      <c r="G54" s="19">
        <v>8</v>
      </c>
      <c r="H54" s="16" t="s">
        <v>16</v>
      </c>
      <c r="I54" s="16" t="s">
        <v>154</v>
      </c>
    </row>
    <row r="55" spans="1:9" ht="27.75" customHeight="1" x14ac:dyDescent="0.3">
      <c r="A55" s="20" t="s">
        <v>147</v>
      </c>
      <c r="B55" s="21" t="s">
        <v>136</v>
      </c>
      <c r="C55" s="21" t="s">
        <v>148</v>
      </c>
      <c r="D55" s="21" t="s">
        <v>155</v>
      </c>
      <c r="E55" s="26" t="s">
        <v>25</v>
      </c>
      <c r="F55" s="23">
        <v>8</v>
      </c>
      <c r="G55" s="24">
        <v>8</v>
      </c>
      <c r="H55" s="21" t="s">
        <v>16</v>
      </c>
      <c r="I55" s="21" t="s">
        <v>156</v>
      </c>
    </row>
    <row r="56" spans="1:9" ht="27.75" customHeight="1" x14ac:dyDescent="0.3">
      <c r="A56" s="15" t="s">
        <v>157</v>
      </c>
      <c r="B56" s="16" t="s">
        <v>158</v>
      </c>
      <c r="C56" s="16" t="s">
        <v>159</v>
      </c>
      <c r="D56" s="16" t="s">
        <v>160</v>
      </c>
      <c r="E56" s="17" t="s">
        <v>15</v>
      </c>
      <c r="F56" s="18">
        <v>0</v>
      </c>
      <c r="G56" s="19">
        <v>6</v>
      </c>
      <c r="H56" s="16" t="s">
        <v>16</v>
      </c>
      <c r="I56" s="16" t="s">
        <v>161</v>
      </c>
    </row>
    <row r="57" spans="1:9" ht="27.75" customHeight="1" x14ac:dyDescent="0.3">
      <c r="A57" s="20" t="s">
        <v>157</v>
      </c>
      <c r="B57" s="21" t="s">
        <v>158</v>
      </c>
      <c r="C57" s="21" t="s">
        <v>159</v>
      </c>
      <c r="D57" s="21" t="s">
        <v>162</v>
      </c>
      <c r="E57" s="22" t="s">
        <v>19</v>
      </c>
      <c r="F57" s="23">
        <v>2</v>
      </c>
      <c r="G57" s="24">
        <v>6</v>
      </c>
      <c r="H57" s="21" t="s">
        <v>16</v>
      </c>
      <c r="I57" s="21" t="s">
        <v>163</v>
      </c>
    </row>
    <row r="58" spans="1:9" ht="27.75" customHeight="1" x14ac:dyDescent="0.3">
      <c r="A58" s="15" t="s">
        <v>157</v>
      </c>
      <c r="B58" s="16" t="s">
        <v>158</v>
      </c>
      <c r="C58" s="16" t="s">
        <v>159</v>
      </c>
      <c r="D58" s="16" t="s">
        <v>164</v>
      </c>
      <c r="E58" s="25" t="s">
        <v>22</v>
      </c>
      <c r="F58" s="18">
        <v>4</v>
      </c>
      <c r="G58" s="19">
        <v>6</v>
      </c>
      <c r="H58" s="16" t="s">
        <v>16</v>
      </c>
      <c r="I58" s="16" t="s">
        <v>165</v>
      </c>
    </row>
    <row r="59" spans="1:9" ht="27.75" customHeight="1" x14ac:dyDescent="0.3">
      <c r="A59" s="20" t="s">
        <v>157</v>
      </c>
      <c r="B59" s="21" t="s">
        <v>158</v>
      </c>
      <c r="C59" s="21" t="s">
        <v>159</v>
      </c>
      <c r="D59" s="21" t="s">
        <v>166</v>
      </c>
      <c r="E59" s="26" t="s">
        <v>25</v>
      </c>
      <c r="F59" s="23">
        <v>6</v>
      </c>
      <c r="G59" s="24">
        <v>6</v>
      </c>
      <c r="H59" s="21" t="s">
        <v>16</v>
      </c>
      <c r="I59" s="21" t="s">
        <v>167</v>
      </c>
    </row>
    <row r="60" spans="1:9" ht="27.75" customHeight="1" x14ac:dyDescent="0.3">
      <c r="A60" s="15" t="s">
        <v>168</v>
      </c>
      <c r="B60" s="16" t="s">
        <v>158</v>
      </c>
      <c r="C60" s="16" t="s">
        <v>169</v>
      </c>
      <c r="D60" s="16" t="s">
        <v>170</v>
      </c>
      <c r="E60" s="17" t="s">
        <v>15</v>
      </c>
      <c r="F60" s="18">
        <v>0</v>
      </c>
      <c r="G60" s="19">
        <v>4</v>
      </c>
      <c r="H60" s="16" t="s">
        <v>117</v>
      </c>
      <c r="I60" s="16" t="s">
        <v>171</v>
      </c>
    </row>
    <row r="61" spans="1:9" ht="27.75" customHeight="1" x14ac:dyDescent="0.3">
      <c r="A61" s="20" t="s">
        <v>168</v>
      </c>
      <c r="B61" s="21" t="s">
        <v>158</v>
      </c>
      <c r="C61" s="21" t="s">
        <v>169</v>
      </c>
      <c r="D61" s="21" t="s">
        <v>172</v>
      </c>
      <c r="E61" s="22" t="s">
        <v>19</v>
      </c>
      <c r="F61" s="23">
        <v>2</v>
      </c>
      <c r="G61" s="24">
        <v>4</v>
      </c>
      <c r="H61" s="21" t="s">
        <v>117</v>
      </c>
      <c r="I61" s="21" t="s">
        <v>173</v>
      </c>
    </row>
    <row r="62" spans="1:9" ht="27.75" customHeight="1" x14ac:dyDescent="0.3">
      <c r="A62" s="15" t="s">
        <v>168</v>
      </c>
      <c r="B62" s="16" t="s">
        <v>158</v>
      </c>
      <c r="C62" s="16" t="s">
        <v>169</v>
      </c>
      <c r="D62" s="16" t="s">
        <v>174</v>
      </c>
      <c r="E62" s="25" t="s">
        <v>22</v>
      </c>
      <c r="F62" s="18">
        <v>4</v>
      </c>
      <c r="G62" s="19">
        <v>4</v>
      </c>
      <c r="H62" s="16" t="s">
        <v>117</v>
      </c>
      <c r="I62" s="16" t="s">
        <v>175</v>
      </c>
    </row>
    <row r="63" spans="1:9" ht="21.75" customHeight="1" x14ac:dyDescent="0.3">
      <c r="A63" s="11" t="s">
        <v>176</v>
      </c>
      <c r="B63" s="11"/>
      <c r="C63" s="11"/>
      <c r="D63" s="11"/>
      <c r="E63" s="11"/>
      <c r="F63" s="11"/>
      <c r="G63" s="11"/>
      <c r="H63" s="11"/>
      <c r="I63" s="11"/>
    </row>
  </sheetData>
  <mergeCells count="3">
    <mergeCell ref="A1:I1"/>
    <mergeCell ref="A2:I2"/>
    <mergeCell ref="A63:I6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3" customWidth="1"/>
    <col min="2" max="2" width="14" customWidth="1"/>
    <col min="3" max="3" width="40" customWidth="1"/>
    <col min="4" max="4" width="38" customWidth="1"/>
    <col min="5" max="5" width="24" customWidth="1"/>
    <col min="6" max="6" width="22" customWidth="1"/>
    <col min="7" max="7" width="38" customWidth="1"/>
  </cols>
  <sheetData>
    <row r="1" spans="1:7" ht="37.5" customHeight="1" x14ac:dyDescent="0.3">
      <c r="A1" s="13" t="s">
        <v>177</v>
      </c>
      <c r="B1" s="13"/>
      <c r="C1" s="13"/>
      <c r="D1" s="13"/>
      <c r="E1" s="13"/>
      <c r="F1" s="13"/>
      <c r="G1" s="13"/>
    </row>
    <row r="2" spans="1:7" ht="15.75" customHeight="1" x14ac:dyDescent="0.3">
      <c r="A2" s="12" t="s">
        <v>178</v>
      </c>
      <c r="B2" s="12"/>
      <c r="C2" s="12"/>
      <c r="D2" s="12"/>
      <c r="E2" s="12"/>
      <c r="F2" s="12"/>
      <c r="G2" s="12"/>
    </row>
    <row r="3" spans="1:7" ht="36" customHeight="1" x14ac:dyDescent="0.3">
      <c r="A3" s="14" t="s">
        <v>179</v>
      </c>
      <c r="B3" s="14" t="s">
        <v>180</v>
      </c>
      <c r="C3" s="14" t="s">
        <v>181</v>
      </c>
      <c r="D3" s="14" t="s">
        <v>182</v>
      </c>
      <c r="E3" s="14" t="s">
        <v>183</v>
      </c>
      <c r="F3" s="14" t="s">
        <v>184</v>
      </c>
      <c r="G3" s="14" t="s">
        <v>185</v>
      </c>
    </row>
    <row r="4" spans="1:7" ht="90" customHeight="1" x14ac:dyDescent="0.3">
      <c r="A4" s="27" t="s">
        <v>186</v>
      </c>
      <c r="B4" s="27" t="s">
        <v>187</v>
      </c>
      <c r="C4" s="28" t="s">
        <v>188</v>
      </c>
      <c r="D4" s="28" t="s">
        <v>189</v>
      </c>
      <c r="E4" s="28" t="s">
        <v>190</v>
      </c>
      <c r="F4" s="29" t="s">
        <v>191</v>
      </c>
      <c r="G4" s="28" t="s">
        <v>192</v>
      </c>
    </row>
    <row r="5" spans="1:7" ht="90" customHeight="1" x14ac:dyDescent="0.3">
      <c r="A5" s="30" t="s">
        <v>193</v>
      </c>
      <c r="B5" s="30" t="s">
        <v>194</v>
      </c>
      <c r="C5" s="31" t="s">
        <v>195</v>
      </c>
      <c r="D5" s="31" t="s">
        <v>196</v>
      </c>
      <c r="E5" s="31" t="s">
        <v>197</v>
      </c>
      <c r="F5" s="32" t="s">
        <v>198</v>
      </c>
      <c r="G5" s="31" t="s">
        <v>199</v>
      </c>
    </row>
    <row r="6" spans="1:7" ht="90" customHeight="1" x14ac:dyDescent="0.3">
      <c r="A6" s="33" t="s">
        <v>200</v>
      </c>
      <c r="B6" s="33" t="s">
        <v>201</v>
      </c>
      <c r="C6" s="28" t="s">
        <v>202</v>
      </c>
      <c r="D6" s="28" t="s">
        <v>203</v>
      </c>
      <c r="E6" s="28" t="s">
        <v>204</v>
      </c>
      <c r="F6" s="34" t="s">
        <v>205</v>
      </c>
      <c r="G6" s="28" t="s">
        <v>206</v>
      </c>
    </row>
    <row r="7" spans="1:7" ht="90" customHeight="1" x14ac:dyDescent="0.3">
      <c r="A7" s="35" t="s">
        <v>207</v>
      </c>
      <c r="B7" s="35" t="s">
        <v>208</v>
      </c>
      <c r="C7" s="31" t="s">
        <v>209</v>
      </c>
      <c r="D7" s="31" t="s">
        <v>210</v>
      </c>
      <c r="E7" s="31" t="s">
        <v>211</v>
      </c>
      <c r="F7" s="36" t="s">
        <v>212</v>
      </c>
      <c r="G7" s="31" t="s">
        <v>213</v>
      </c>
    </row>
    <row r="8" spans="1:7" ht="21.75" customHeight="1" x14ac:dyDescent="0.3">
      <c r="A8" s="10" t="s">
        <v>214</v>
      </c>
      <c r="B8" s="10"/>
      <c r="C8" s="10"/>
      <c r="D8" s="10"/>
      <c r="E8" s="10"/>
      <c r="F8" s="10"/>
      <c r="G8" s="10"/>
    </row>
    <row r="9" spans="1:7" ht="30" customHeight="1" x14ac:dyDescent="0.3">
      <c r="A9" s="9" t="s">
        <v>215</v>
      </c>
      <c r="B9" s="9"/>
      <c r="C9" s="9"/>
      <c r="D9" s="9"/>
      <c r="E9" s="9"/>
      <c r="F9" s="9"/>
      <c r="G9" s="9"/>
    </row>
  </sheetData>
  <mergeCells count="4">
    <mergeCell ref="A1:G1"/>
    <mergeCell ref="A2:G2"/>
    <mergeCell ref="A8:G8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showGridLines="0" tabSelected="1" zoomScaleNormal="100" workbookViewId="0">
      <selection activeCell="A2" sqref="A2:G2"/>
    </sheetView>
  </sheetViews>
  <sheetFormatPr defaultColWidth="8.6640625" defaultRowHeight="14.4" x14ac:dyDescent="0.3"/>
  <cols>
    <col min="1" max="1" width="8" customWidth="1"/>
    <col min="2" max="2" width="24" customWidth="1"/>
    <col min="3" max="3" width="36" customWidth="1"/>
    <col min="4" max="4" width="14" customWidth="1"/>
    <col min="5" max="5" width="10" customWidth="1"/>
    <col min="6" max="6" width="8" customWidth="1"/>
    <col min="7" max="7" width="44" customWidth="1"/>
  </cols>
  <sheetData>
    <row r="1" spans="1:7" ht="37.5" customHeight="1" x14ac:dyDescent="0.3">
      <c r="A1" s="13" t="s">
        <v>216</v>
      </c>
      <c r="B1" s="13"/>
      <c r="C1" s="13"/>
      <c r="D1" s="13"/>
      <c r="E1" s="13"/>
      <c r="F1" s="13"/>
      <c r="G1" s="13"/>
    </row>
    <row r="2" spans="1:7" ht="15.75" customHeight="1" x14ac:dyDescent="0.3">
      <c r="A2" s="12" t="s">
        <v>274</v>
      </c>
      <c r="B2" s="12"/>
      <c r="C2" s="12"/>
      <c r="D2" s="12"/>
      <c r="E2" s="12"/>
      <c r="F2" s="12"/>
      <c r="G2" s="12"/>
    </row>
    <row r="3" spans="1:7" ht="36" customHeight="1" x14ac:dyDescent="0.3">
      <c r="A3" s="14" t="s">
        <v>217</v>
      </c>
      <c r="B3" s="14" t="s">
        <v>218</v>
      </c>
      <c r="C3" s="14" t="s">
        <v>219</v>
      </c>
      <c r="D3" s="14" t="s">
        <v>220</v>
      </c>
      <c r="E3" s="14" t="s">
        <v>221</v>
      </c>
      <c r="F3" s="14" t="s">
        <v>8</v>
      </c>
      <c r="G3" s="14" t="s">
        <v>222</v>
      </c>
    </row>
    <row r="4" spans="1:7" ht="31.5" customHeight="1" x14ac:dyDescent="0.3">
      <c r="A4" s="15" t="s">
        <v>11</v>
      </c>
      <c r="B4" s="16" t="s">
        <v>223</v>
      </c>
      <c r="C4" s="16" t="s">
        <v>14</v>
      </c>
      <c r="D4" s="17" t="s">
        <v>15</v>
      </c>
      <c r="E4" s="37">
        <v>0</v>
      </c>
      <c r="F4" s="19">
        <v>10</v>
      </c>
      <c r="G4" s="16" t="s">
        <v>224</v>
      </c>
    </row>
    <row r="5" spans="1:7" ht="31.5" customHeight="1" x14ac:dyDescent="0.3">
      <c r="A5" s="20" t="s">
        <v>27</v>
      </c>
      <c r="B5" s="21" t="s">
        <v>28</v>
      </c>
      <c r="C5" s="21" t="s">
        <v>32</v>
      </c>
      <c r="D5" s="22" t="s">
        <v>19</v>
      </c>
      <c r="E5" s="38">
        <v>2</v>
      </c>
      <c r="F5" s="24">
        <v>6</v>
      </c>
      <c r="G5" s="21" t="s">
        <v>225</v>
      </c>
    </row>
    <row r="6" spans="1:7" ht="31.5" customHeight="1" x14ac:dyDescent="0.3">
      <c r="A6" s="15" t="s">
        <v>38</v>
      </c>
      <c r="B6" s="16" t="s">
        <v>40</v>
      </c>
      <c r="C6" s="16" t="s">
        <v>44</v>
      </c>
      <c r="D6" s="22" t="s">
        <v>19</v>
      </c>
      <c r="E6" s="37">
        <v>3</v>
      </c>
      <c r="F6" s="19">
        <v>8</v>
      </c>
      <c r="G6" s="16" t="s">
        <v>226</v>
      </c>
    </row>
    <row r="7" spans="1:7" ht="31.5" customHeight="1" x14ac:dyDescent="0.3">
      <c r="A7" s="20" t="s">
        <v>50</v>
      </c>
      <c r="B7" s="21" t="s">
        <v>52</v>
      </c>
      <c r="C7" s="21" t="s">
        <v>53</v>
      </c>
      <c r="D7" s="17" t="s">
        <v>15</v>
      </c>
      <c r="E7" s="38">
        <v>0</v>
      </c>
      <c r="F7" s="24">
        <v>8</v>
      </c>
      <c r="G7" s="21" t="s">
        <v>227</v>
      </c>
    </row>
    <row r="8" spans="1:7" ht="31.5" customHeight="1" x14ac:dyDescent="0.3">
      <c r="A8" s="15" t="s">
        <v>62</v>
      </c>
      <c r="B8" s="16" t="s">
        <v>63</v>
      </c>
      <c r="C8" s="16" t="s">
        <v>64</v>
      </c>
      <c r="D8" s="17" t="s">
        <v>15</v>
      </c>
      <c r="E8" s="37">
        <v>0</v>
      </c>
      <c r="F8" s="19">
        <v>6</v>
      </c>
      <c r="G8" s="16" t="s">
        <v>228</v>
      </c>
    </row>
    <row r="9" spans="1:7" ht="31.5" customHeight="1" x14ac:dyDescent="0.3">
      <c r="A9" s="20" t="s">
        <v>72</v>
      </c>
      <c r="B9" s="21" t="s">
        <v>74</v>
      </c>
      <c r="C9" s="21" t="s">
        <v>77</v>
      </c>
      <c r="D9" s="22" t="s">
        <v>19</v>
      </c>
      <c r="E9" s="38">
        <v>2</v>
      </c>
      <c r="F9" s="24">
        <v>6</v>
      </c>
      <c r="G9" s="21" t="s">
        <v>229</v>
      </c>
    </row>
    <row r="10" spans="1:7" ht="31.5" customHeight="1" x14ac:dyDescent="0.3">
      <c r="A10" s="15" t="s">
        <v>83</v>
      </c>
      <c r="B10" s="16" t="s">
        <v>84</v>
      </c>
      <c r="C10" s="16" t="s">
        <v>87</v>
      </c>
      <c r="D10" s="22" t="s">
        <v>19</v>
      </c>
      <c r="E10" s="37">
        <v>2</v>
      </c>
      <c r="F10" s="19">
        <v>6</v>
      </c>
      <c r="G10" s="16" t="s">
        <v>230</v>
      </c>
    </row>
    <row r="11" spans="1:7" ht="31.5" customHeight="1" x14ac:dyDescent="0.3">
      <c r="A11" s="20" t="s">
        <v>92</v>
      </c>
      <c r="B11" s="21" t="s">
        <v>231</v>
      </c>
      <c r="C11" s="21" t="s">
        <v>97</v>
      </c>
      <c r="D11" s="17" t="s">
        <v>15</v>
      </c>
      <c r="E11" s="38">
        <v>1</v>
      </c>
      <c r="F11" s="24">
        <v>8</v>
      </c>
      <c r="G11" s="21" t="s">
        <v>232</v>
      </c>
    </row>
    <row r="12" spans="1:7" ht="31.5" customHeight="1" x14ac:dyDescent="0.3">
      <c r="A12" s="15" t="s">
        <v>103</v>
      </c>
      <c r="B12" s="16" t="s">
        <v>104</v>
      </c>
      <c r="C12" s="16" t="s">
        <v>107</v>
      </c>
      <c r="D12" s="22" t="s">
        <v>19</v>
      </c>
      <c r="E12" s="37">
        <v>3</v>
      </c>
      <c r="F12" s="19">
        <v>8</v>
      </c>
      <c r="G12" s="16" t="s">
        <v>233</v>
      </c>
    </row>
    <row r="13" spans="1:7" ht="31.5" customHeight="1" x14ac:dyDescent="0.3">
      <c r="A13" s="20" t="s">
        <v>113</v>
      </c>
      <c r="B13" s="21" t="s">
        <v>234</v>
      </c>
      <c r="C13" s="21" t="s">
        <v>116</v>
      </c>
      <c r="D13" s="17" t="s">
        <v>15</v>
      </c>
      <c r="E13" s="38">
        <v>0</v>
      </c>
      <c r="F13" s="24">
        <v>6</v>
      </c>
      <c r="G13" s="21" t="s">
        <v>235</v>
      </c>
    </row>
    <row r="14" spans="1:7" ht="31.5" customHeight="1" x14ac:dyDescent="0.3">
      <c r="A14" s="15" t="s">
        <v>125</v>
      </c>
      <c r="B14" s="16" t="s">
        <v>126</v>
      </c>
      <c r="C14" s="16" t="s">
        <v>129</v>
      </c>
      <c r="D14" s="22" t="s">
        <v>19</v>
      </c>
      <c r="E14" s="37">
        <v>2</v>
      </c>
      <c r="F14" s="19">
        <v>6</v>
      </c>
      <c r="G14" s="16" t="s">
        <v>236</v>
      </c>
    </row>
    <row r="15" spans="1:7" ht="31.5" customHeight="1" x14ac:dyDescent="0.3">
      <c r="A15" s="20" t="s">
        <v>135</v>
      </c>
      <c r="B15" s="21" t="s">
        <v>54</v>
      </c>
      <c r="C15" s="21" t="s">
        <v>141</v>
      </c>
      <c r="D15" s="22" t="s">
        <v>19</v>
      </c>
      <c r="E15" s="38">
        <v>3</v>
      </c>
      <c r="F15" s="24">
        <v>8</v>
      </c>
      <c r="G15" s="21" t="s">
        <v>237</v>
      </c>
    </row>
    <row r="16" spans="1:7" ht="31.5" customHeight="1" x14ac:dyDescent="0.3">
      <c r="A16" s="15" t="s">
        <v>147</v>
      </c>
      <c r="B16" s="16" t="s">
        <v>148</v>
      </c>
      <c r="C16" s="16" t="s">
        <v>149</v>
      </c>
      <c r="D16" s="17" t="s">
        <v>15</v>
      </c>
      <c r="E16" s="37">
        <v>0</v>
      </c>
      <c r="F16" s="19">
        <v>8</v>
      </c>
      <c r="G16" s="16" t="s">
        <v>238</v>
      </c>
    </row>
    <row r="17" spans="1:7" ht="31.5" customHeight="1" x14ac:dyDescent="0.3">
      <c r="A17" s="20" t="s">
        <v>157</v>
      </c>
      <c r="B17" s="21" t="s">
        <v>159</v>
      </c>
      <c r="C17" s="21" t="s">
        <v>162</v>
      </c>
      <c r="D17" s="22" t="s">
        <v>19</v>
      </c>
      <c r="E17" s="38">
        <v>2</v>
      </c>
      <c r="F17" s="24">
        <v>6</v>
      </c>
      <c r="G17" s="21" t="s">
        <v>239</v>
      </c>
    </row>
    <row r="18" spans="1:7" ht="31.5" customHeight="1" x14ac:dyDescent="0.3">
      <c r="A18" s="15" t="s">
        <v>168</v>
      </c>
      <c r="B18" s="16" t="s">
        <v>240</v>
      </c>
      <c r="C18" s="16" t="s">
        <v>172</v>
      </c>
      <c r="D18" s="22" t="s">
        <v>19</v>
      </c>
      <c r="E18" s="37">
        <v>2</v>
      </c>
      <c r="F18" s="19">
        <v>4</v>
      </c>
      <c r="G18" s="16" t="s">
        <v>241</v>
      </c>
    </row>
    <row r="19" spans="1:7" ht="27.75" customHeight="1" x14ac:dyDescent="0.3">
      <c r="A19" s="8" t="s">
        <v>242</v>
      </c>
      <c r="B19" s="8"/>
      <c r="C19" s="8"/>
      <c r="D19" s="8"/>
      <c r="E19" s="39">
        <f>SUM(E4:E18)</f>
        <v>22</v>
      </c>
      <c r="F19" s="40">
        <f>SUM(F4:F18)</f>
        <v>104</v>
      </c>
      <c r="G19" s="41" t="s">
        <v>243</v>
      </c>
    </row>
    <row r="20" spans="1:7" ht="43.5" customHeight="1" x14ac:dyDescent="0.3">
      <c r="A20" s="7" t="s">
        <v>244</v>
      </c>
      <c r="B20" s="7"/>
      <c r="C20" s="7"/>
      <c r="D20" s="7"/>
      <c r="E20" s="42" t="str">
        <f>IF(E19&gt;=76,"CRITICAL",IF(E19&gt;=46,"HIGH",IF(E19&gt;=21,"MODERATE","LOW")))</f>
        <v>MODERATE</v>
      </c>
      <c r="F20" s="6" t="s">
        <v>245</v>
      </c>
      <c r="G20" s="6"/>
    </row>
    <row r="21" spans="1:7" ht="9.75" customHeight="1" x14ac:dyDescent="0.3"/>
    <row r="22" spans="1:7" ht="24" customHeight="1" x14ac:dyDescent="0.3">
      <c r="A22" s="5" t="s">
        <v>246</v>
      </c>
      <c r="B22" s="5"/>
      <c r="C22" s="5"/>
      <c r="D22" s="5"/>
      <c r="E22" s="5"/>
      <c r="F22" s="5"/>
      <c r="G22" s="5"/>
    </row>
    <row r="23" spans="1:7" ht="27.75" customHeight="1" x14ac:dyDescent="0.3">
      <c r="A23" s="43" t="s">
        <v>247</v>
      </c>
      <c r="B23" s="43" t="s">
        <v>248</v>
      </c>
      <c r="C23" s="43" t="s">
        <v>249</v>
      </c>
      <c r="D23" s="43" t="s">
        <v>250</v>
      </c>
      <c r="E23" s="43" t="s">
        <v>251</v>
      </c>
      <c r="F23" s="43"/>
      <c r="G23" s="43" t="s">
        <v>252</v>
      </c>
    </row>
    <row r="24" spans="1:7" ht="24" customHeight="1" x14ac:dyDescent="0.3">
      <c r="A24" s="44" t="s">
        <v>15</v>
      </c>
      <c r="B24" s="45">
        <v>6</v>
      </c>
      <c r="C24" s="45">
        <f>6/15</f>
        <v>0.4</v>
      </c>
      <c r="D24" s="46" t="s">
        <v>253</v>
      </c>
      <c r="E24" s="45" t="s">
        <v>254</v>
      </c>
      <c r="F24" s="46"/>
      <c r="G24" s="47" t="s">
        <v>255</v>
      </c>
    </row>
    <row r="25" spans="1:7" ht="24" customHeight="1" x14ac:dyDescent="0.3">
      <c r="A25" s="48" t="s">
        <v>19</v>
      </c>
      <c r="B25" s="45">
        <v>9</v>
      </c>
      <c r="C25" s="45">
        <f>9/15</f>
        <v>0.6</v>
      </c>
      <c r="D25" s="46" t="s">
        <v>256</v>
      </c>
      <c r="E25" s="45">
        <v>3</v>
      </c>
      <c r="F25" s="46"/>
      <c r="G25" s="47" t="s">
        <v>257</v>
      </c>
    </row>
    <row r="26" spans="1:7" ht="24" customHeight="1" x14ac:dyDescent="0.3">
      <c r="A26" s="49" t="s">
        <v>22</v>
      </c>
      <c r="B26" s="45">
        <v>0</v>
      </c>
      <c r="C26" s="45">
        <f>0/15</f>
        <v>0</v>
      </c>
      <c r="D26" s="46" t="s">
        <v>254</v>
      </c>
      <c r="E26" s="45" t="s">
        <v>254</v>
      </c>
      <c r="F26" s="46"/>
      <c r="G26" s="47" t="s">
        <v>258</v>
      </c>
    </row>
    <row r="27" spans="1:7" ht="24" customHeight="1" x14ac:dyDescent="0.3">
      <c r="A27" s="50" t="s">
        <v>25</v>
      </c>
      <c r="B27" s="45">
        <v>0</v>
      </c>
      <c r="C27" s="45">
        <f>0/15</f>
        <v>0</v>
      </c>
      <c r="D27" s="46" t="s">
        <v>254</v>
      </c>
      <c r="E27" s="45" t="s">
        <v>254</v>
      </c>
      <c r="F27" s="46"/>
      <c r="G27" s="47" t="s">
        <v>259</v>
      </c>
    </row>
  </sheetData>
  <mergeCells count="6">
    <mergeCell ref="A22:G22"/>
    <mergeCell ref="A1:G1"/>
    <mergeCell ref="A2:G2"/>
    <mergeCell ref="A19:D19"/>
    <mergeCell ref="A20:D20"/>
    <mergeCell ref="F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8" customWidth="1"/>
    <col min="2" max="2" width="24" customWidth="1"/>
    <col min="3" max="3" width="40" customWidth="1"/>
    <col min="4" max="4" width="14" customWidth="1"/>
    <col min="5" max="5" width="12" customWidth="1"/>
    <col min="6" max="6" width="8" customWidth="1"/>
    <col min="7" max="7" width="38" customWidth="1"/>
  </cols>
  <sheetData>
    <row r="1" spans="1:7" ht="37.5" customHeight="1" x14ac:dyDescent="0.3">
      <c r="A1" s="13" t="s">
        <v>260</v>
      </c>
      <c r="B1" s="13"/>
      <c r="C1" s="13"/>
      <c r="D1" s="13"/>
      <c r="E1" s="13"/>
      <c r="F1" s="13"/>
      <c r="G1" s="13"/>
    </row>
    <row r="2" spans="1:7" ht="31.5" customHeight="1" x14ac:dyDescent="0.3">
      <c r="A2" s="4" t="s">
        <v>261</v>
      </c>
      <c r="B2" s="4"/>
      <c r="C2" s="4"/>
      <c r="D2" s="4"/>
      <c r="E2" s="4"/>
      <c r="F2" s="4"/>
      <c r="G2" s="4"/>
    </row>
    <row r="3" spans="1:7" ht="21.75" customHeight="1" x14ac:dyDescent="0.3">
      <c r="A3" s="51" t="s">
        <v>262</v>
      </c>
      <c r="B3" s="3"/>
      <c r="C3" s="3"/>
      <c r="D3" s="3"/>
      <c r="E3" s="3"/>
      <c r="F3" s="3"/>
      <c r="G3" s="3"/>
    </row>
    <row r="4" spans="1:7" ht="21.75" customHeight="1" x14ac:dyDescent="0.3">
      <c r="A4" s="51" t="s">
        <v>263</v>
      </c>
      <c r="B4" s="3"/>
      <c r="C4" s="3"/>
      <c r="D4" s="3"/>
      <c r="E4" s="3"/>
      <c r="F4" s="3"/>
      <c r="G4" s="3"/>
    </row>
    <row r="5" spans="1:7" ht="21.75" customHeight="1" x14ac:dyDescent="0.3">
      <c r="A5" s="51" t="s">
        <v>264</v>
      </c>
      <c r="B5" s="3"/>
      <c r="C5" s="3"/>
      <c r="D5" s="3"/>
      <c r="E5" s="3"/>
      <c r="F5" s="3"/>
      <c r="G5" s="3"/>
    </row>
    <row r="6" spans="1:7" ht="21.75" customHeight="1" x14ac:dyDescent="0.3">
      <c r="A6" s="51" t="s">
        <v>265</v>
      </c>
      <c r="B6" s="3"/>
      <c r="C6" s="3"/>
      <c r="D6" s="3"/>
      <c r="E6" s="3"/>
      <c r="F6" s="3"/>
      <c r="G6" s="3"/>
    </row>
    <row r="7" spans="1:7" ht="21.75" customHeight="1" x14ac:dyDescent="0.3">
      <c r="A7" s="51" t="s">
        <v>266</v>
      </c>
      <c r="B7" s="3"/>
      <c r="C7" s="3"/>
      <c r="D7" s="3"/>
      <c r="E7" s="3"/>
      <c r="F7" s="3"/>
      <c r="G7" s="3"/>
    </row>
    <row r="9" spans="1:7" ht="36" customHeight="1" x14ac:dyDescent="0.3">
      <c r="A9" s="14" t="s">
        <v>217</v>
      </c>
      <c r="B9" s="14" t="s">
        <v>218</v>
      </c>
      <c r="C9" s="14" t="s">
        <v>267</v>
      </c>
      <c r="D9" s="14" t="s">
        <v>220</v>
      </c>
      <c r="E9" s="14" t="s">
        <v>221</v>
      </c>
      <c r="F9" s="14" t="s">
        <v>8</v>
      </c>
      <c r="G9" s="14" t="s">
        <v>268</v>
      </c>
    </row>
    <row r="10" spans="1:7" ht="27.75" customHeight="1" x14ac:dyDescent="0.3">
      <c r="A10" s="52" t="s">
        <v>11</v>
      </c>
      <c r="B10" s="53" t="s">
        <v>269</v>
      </c>
      <c r="C10" s="53"/>
      <c r="D10" s="53"/>
      <c r="E10" s="54"/>
      <c r="F10" s="55"/>
      <c r="G10" s="53"/>
    </row>
    <row r="11" spans="1:7" ht="27.75" customHeight="1" x14ac:dyDescent="0.3">
      <c r="A11" s="56" t="s">
        <v>27</v>
      </c>
      <c r="B11" s="57" t="s">
        <v>28</v>
      </c>
      <c r="C11" s="57"/>
      <c r="D11" s="57"/>
      <c r="E11" s="54"/>
      <c r="F11" s="58"/>
      <c r="G11" s="57"/>
    </row>
    <row r="12" spans="1:7" ht="27.75" customHeight="1" x14ac:dyDescent="0.3">
      <c r="A12" s="52" t="s">
        <v>38</v>
      </c>
      <c r="B12" s="53" t="s">
        <v>40</v>
      </c>
      <c r="C12" s="53"/>
      <c r="D12" s="53"/>
      <c r="E12" s="54"/>
      <c r="F12" s="55"/>
      <c r="G12" s="53"/>
    </row>
    <row r="13" spans="1:7" ht="27.75" customHeight="1" x14ac:dyDescent="0.3">
      <c r="A13" s="56" t="s">
        <v>50</v>
      </c>
      <c r="B13" s="57" t="s">
        <v>52</v>
      </c>
      <c r="C13" s="57"/>
      <c r="D13" s="57"/>
      <c r="E13" s="54"/>
      <c r="F13" s="58"/>
      <c r="G13" s="57"/>
    </row>
    <row r="14" spans="1:7" ht="27.75" customHeight="1" x14ac:dyDescent="0.3">
      <c r="A14" s="52" t="s">
        <v>62</v>
      </c>
      <c r="B14" s="53" t="s">
        <v>63</v>
      </c>
      <c r="C14" s="53"/>
      <c r="D14" s="53"/>
      <c r="E14" s="54"/>
      <c r="F14" s="55"/>
      <c r="G14" s="53"/>
    </row>
    <row r="15" spans="1:7" ht="27.75" customHeight="1" x14ac:dyDescent="0.3">
      <c r="A15" s="56" t="s">
        <v>72</v>
      </c>
      <c r="B15" s="57" t="s">
        <v>74</v>
      </c>
      <c r="C15" s="57"/>
      <c r="D15" s="57"/>
      <c r="E15" s="54"/>
      <c r="F15" s="58"/>
      <c r="G15" s="57"/>
    </row>
    <row r="16" spans="1:7" ht="27.75" customHeight="1" x14ac:dyDescent="0.3">
      <c r="A16" s="52" t="s">
        <v>83</v>
      </c>
      <c r="B16" s="53" t="s">
        <v>84</v>
      </c>
      <c r="C16" s="53"/>
      <c r="D16" s="53"/>
      <c r="E16" s="54"/>
      <c r="F16" s="55"/>
      <c r="G16" s="53"/>
    </row>
    <row r="17" spans="1:7" ht="27.75" customHeight="1" x14ac:dyDescent="0.3">
      <c r="A17" s="56" t="s">
        <v>92</v>
      </c>
      <c r="B17" s="57" t="s">
        <v>231</v>
      </c>
      <c r="C17" s="57"/>
      <c r="D17" s="57"/>
      <c r="E17" s="54"/>
      <c r="F17" s="58"/>
      <c r="G17" s="57"/>
    </row>
    <row r="18" spans="1:7" ht="27.75" customHeight="1" x14ac:dyDescent="0.3">
      <c r="A18" s="52" t="s">
        <v>103</v>
      </c>
      <c r="B18" s="53" t="s">
        <v>104</v>
      </c>
      <c r="C18" s="53"/>
      <c r="D18" s="53"/>
      <c r="E18" s="54"/>
      <c r="F18" s="55"/>
      <c r="G18" s="53"/>
    </row>
    <row r="19" spans="1:7" ht="27.75" customHeight="1" x14ac:dyDescent="0.3">
      <c r="A19" s="56" t="s">
        <v>113</v>
      </c>
      <c r="B19" s="57" t="s">
        <v>234</v>
      </c>
      <c r="C19" s="57"/>
      <c r="D19" s="57"/>
      <c r="E19" s="54"/>
      <c r="F19" s="58"/>
      <c r="G19" s="57"/>
    </row>
    <row r="20" spans="1:7" ht="27.75" customHeight="1" x14ac:dyDescent="0.3">
      <c r="A20" s="52" t="s">
        <v>125</v>
      </c>
      <c r="B20" s="53" t="s">
        <v>126</v>
      </c>
      <c r="C20" s="53"/>
      <c r="D20" s="53"/>
      <c r="E20" s="54"/>
      <c r="F20" s="55"/>
      <c r="G20" s="53"/>
    </row>
    <row r="21" spans="1:7" ht="27.75" customHeight="1" x14ac:dyDescent="0.3">
      <c r="A21" s="56" t="s">
        <v>135</v>
      </c>
      <c r="B21" s="57" t="s">
        <v>54</v>
      </c>
      <c r="C21" s="57"/>
      <c r="D21" s="57"/>
      <c r="E21" s="54"/>
      <c r="F21" s="58"/>
      <c r="G21" s="57"/>
    </row>
    <row r="22" spans="1:7" ht="27.75" customHeight="1" x14ac:dyDescent="0.3">
      <c r="A22" s="52" t="s">
        <v>147</v>
      </c>
      <c r="B22" s="53" t="s">
        <v>148</v>
      </c>
      <c r="C22" s="53"/>
      <c r="D22" s="53"/>
      <c r="E22" s="54"/>
      <c r="F22" s="55"/>
      <c r="G22" s="53"/>
    </row>
    <row r="23" spans="1:7" ht="27.75" customHeight="1" x14ac:dyDescent="0.3">
      <c r="A23" s="56" t="s">
        <v>157</v>
      </c>
      <c r="B23" s="57" t="s">
        <v>159</v>
      </c>
      <c r="C23" s="57"/>
      <c r="D23" s="57"/>
      <c r="E23" s="54"/>
      <c r="F23" s="58"/>
      <c r="G23" s="57"/>
    </row>
    <row r="24" spans="1:7" ht="27.75" customHeight="1" x14ac:dyDescent="0.3">
      <c r="A24" s="52" t="s">
        <v>168</v>
      </c>
      <c r="B24" s="53" t="s">
        <v>240</v>
      </c>
      <c r="C24" s="53"/>
      <c r="D24" s="53"/>
      <c r="E24" s="54"/>
      <c r="F24" s="55"/>
      <c r="G24" s="53"/>
    </row>
    <row r="25" spans="1:7" ht="31.5" customHeight="1" x14ac:dyDescent="0.3">
      <c r="A25" s="2" t="s">
        <v>270</v>
      </c>
      <c r="B25" s="2"/>
      <c r="C25" s="2"/>
      <c r="D25" s="2"/>
      <c r="E25" s="39">
        <f>SUM(E10:E24)</f>
        <v>0</v>
      </c>
      <c r="F25" s="59">
        <v>124</v>
      </c>
      <c r="G25" s="41" t="s">
        <v>271</v>
      </c>
    </row>
    <row r="26" spans="1:7" ht="36" customHeight="1" x14ac:dyDescent="0.3">
      <c r="A26" s="2" t="s">
        <v>272</v>
      </c>
      <c r="B26" s="2"/>
      <c r="C26" s="2"/>
      <c r="D26" s="2"/>
      <c r="E26" s="60" t="str">
        <f>IF(E25&gt;=76,"CRITICAL",IF(E25&gt;=46,"HIGH",IF(E25&gt;=21,"MODERATE","LOW")))</f>
        <v>LOW</v>
      </c>
      <c r="F26" s="1" t="s">
        <v>273</v>
      </c>
      <c r="G26" s="1"/>
    </row>
  </sheetData>
  <mergeCells count="10">
    <mergeCell ref="B6:G6"/>
    <mergeCell ref="B7:G7"/>
    <mergeCell ref="A25:D25"/>
    <mergeCell ref="A26:D26"/>
    <mergeCell ref="F26:G26"/>
    <mergeCell ref="A1:G1"/>
    <mergeCell ref="A2:G2"/>
    <mergeCell ref="B3:G3"/>
    <mergeCell ref="B4:G4"/>
    <mergeCell ref="B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– Score Mapping</vt:lpstr>
      <vt:lpstr>2 – Risk Rating Scale</vt:lpstr>
      <vt:lpstr>3 – Sample CloudVault Inc.</vt:lpstr>
      <vt:lpstr>4 – Blank Scoring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Trivedi Mihir</cp:lastModifiedBy>
  <cp:revision>0</cp:revision>
  <dcterms:created xsi:type="dcterms:W3CDTF">2026-03-13T16:22:42Z</dcterms:created>
  <dcterms:modified xsi:type="dcterms:W3CDTF">2026-03-15T18:47:17Z</dcterms:modified>
  <dc:language>en-US</dc:language>
</cp:coreProperties>
</file>